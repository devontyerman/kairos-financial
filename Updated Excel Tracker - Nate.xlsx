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ownloads/"/>
    </mc:Choice>
  </mc:AlternateContent>
  <xr:revisionPtr revIDLastSave="0" documentId="13_ncr:1_{11AA62C3-2C21-B244-A636-53AAD56D7726}" xr6:coauthVersionLast="47" xr6:coauthVersionMax="47" xr10:uidLastSave="{00000000-0000-0000-0000-000000000000}"/>
  <bookViews>
    <workbookView xWindow="0" yWindow="680" windowWidth="29920" windowHeight="18660" activeTab="5" xr2:uid="{8FD56BC0-B752-7245-A7C8-B8759FE5FAF0}"/>
  </bookViews>
  <sheets>
    <sheet name="Summary" sheetId="5" r:id="rId1"/>
    <sheet name="Inbound" sheetId="2" r:id="rId2"/>
    <sheet name="Inbound Calls" sheetId="3" r:id="rId3"/>
    <sheet name="Inbound Clients" sheetId="4" r:id="rId4"/>
    <sheet name="Aged Lead Clients" sheetId="6" r:id="rId5"/>
    <sheet name="Chargebacks" sheetId="9" r:id="rId6"/>
    <sheet name="Expenses" sheetId="7" r:id="rId7"/>
    <sheet name="Lists" sheetId="8" r:id="rId8"/>
  </sheets>
  <definedNames>
    <definedName name="CarrierList">tCarriers[Carrier]</definedName>
    <definedName name="StatusList">tStatuses[Status]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24" i="5" s="1"/>
  <c r="D8" i="9" a="1"/>
  <c r="D8" i="9" s="1"/>
  <c r="A8" i="9" a="1"/>
  <c r="A8" i="9" s="1"/>
  <c r="B4" i="9"/>
  <c r="F17" i="2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G8" i="2"/>
  <c r="F8" i="2"/>
  <c r="E8" i="2"/>
  <c r="D8" i="2" a="1"/>
  <c r="D8" i="2" s="1"/>
  <c r="B28" i="5"/>
  <c r="B16" i="5"/>
  <c r="B15" i="5"/>
  <c r="B14" i="5"/>
  <c r="B13" i="5"/>
  <c r="B22" i="5" s="1"/>
  <c r="B12" i="5"/>
  <c r="B6" i="5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B25" i="2"/>
  <c r="B5" i="5" s="1"/>
  <c r="B22" i="2"/>
  <c r="B19" i="2"/>
  <c r="B20" i="2" s="1"/>
  <c r="B21" i="2" s="1"/>
  <c r="B17" i="2"/>
  <c r="B18" i="2" s="1"/>
  <c r="B16" i="2"/>
  <c r="B15" i="2"/>
  <c r="B11" i="2"/>
  <c r="B9" i="2"/>
  <c r="B10" i="2" s="1"/>
  <c r="B8" i="2"/>
  <c r="B7" i="2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B26" i="2" s="1"/>
  <c r="B27" i="5" s="1"/>
  <c r="B29" i="5" s="1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3" i="3"/>
  <c r="D3" i="3"/>
  <c r="F2" i="3"/>
  <c r="D2" i="3"/>
  <c r="G9" i="2" l="1"/>
  <c r="F9" i="2"/>
  <c r="E9" i="2"/>
  <c r="E17" i="2" s="1"/>
  <c r="G10" i="2"/>
  <c r="E10" i="2"/>
  <c r="F10" i="2"/>
  <c r="G11" i="2"/>
  <c r="F11" i="2"/>
  <c r="E11" i="2"/>
  <c r="G12" i="2"/>
  <c r="E12" i="2"/>
  <c r="F12" i="2"/>
  <c r="G13" i="2"/>
  <c r="F13" i="2"/>
  <c r="E13" i="2"/>
  <c r="G14" i="2"/>
  <c r="F14" i="2"/>
  <c r="E14" i="2"/>
  <c r="G15" i="2"/>
  <c r="F15" i="2"/>
  <c r="E15" i="2"/>
  <c r="G16" i="2"/>
  <c r="F16" i="2"/>
  <c r="E16" i="2"/>
  <c r="B23" i="5"/>
  <c r="B17" i="5"/>
  <c r="B21" i="5"/>
  <c r="B7" i="5"/>
  <c r="B9" i="5" s="1"/>
  <c r="B27" i="2"/>
  <c r="B30" i="2"/>
  <c r="B12" i="2"/>
  <c r="B28" i="2"/>
  <c r="B29" i="2"/>
  <c r="G17" i="2" l="1"/>
  <c r="B20" i="5"/>
  <c r="B3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<sst xmlns="http://schemas.openxmlformats.org/spreadsheetml/2006/main" count="348" uniqueCount="189">
  <si>
    <t>Office Space</t>
  </si>
  <si>
    <t>WAVV</t>
  </si>
  <si>
    <t>CRM</t>
  </si>
  <si>
    <t>Numbers</t>
  </si>
  <si>
    <t>Donna Isaac</t>
  </si>
  <si>
    <t>Shirley Dawson</t>
  </si>
  <si>
    <t>Maria Torres</t>
  </si>
  <si>
    <t>Stacey Zimmer</t>
  </si>
  <si>
    <t>Debbie Hudson</t>
  </si>
  <si>
    <t>Robert Liddell</t>
  </si>
  <si>
    <t>James Yeary</t>
  </si>
  <si>
    <t>Laura Yeary</t>
  </si>
  <si>
    <t>Ronald Crowder</t>
  </si>
  <si>
    <t>Julia Serrano</t>
  </si>
  <si>
    <t>Kimberly Mills</t>
  </si>
  <si>
    <t>John Mills</t>
  </si>
  <si>
    <t>Roger Charette</t>
  </si>
  <si>
    <t>Duane Vautier</t>
  </si>
  <si>
    <t>Stephen Clericuzio</t>
  </si>
  <si>
    <t>Stormy Wardell</t>
  </si>
  <si>
    <t>Michael Perkins</t>
  </si>
  <si>
    <t>Jason Conary</t>
  </si>
  <si>
    <t>Laura Conary</t>
  </si>
  <si>
    <t>Samuel Weldon</t>
  </si>
  <si>
    <t>Texas</t>
  </si>
  <si>
    <t>Exams + Courses</t>
  </si>
  <si>
    <t>Ohio</t>
  </si>
  <si>
    <t>South Dakota</t>
  </si>
  <si>
    <t>Maine</t>
  </si>
  <si>
    <t>New Hampshire</t>
  </si>
  <si>
    <t>Rhode Island</t>
  </si>
  <si>
    <t>Maurice Redday Jr</t>
  </si>
  <si>
    <t>Holly McCready</t>
  </si>
  <si>
    <t>Inbound Dials</t>
  </si>
  <si>
    <t>Utah</t>
  </si>
  <si>
    <t>Iowa</t>
  </si>
  <si>
    <t>Idaho</t>
  </si>
  <si>
    <t>Minnesota</t>
  </si>
  <si>
    <t>Oregon</t>
  </si>
  <si>
    <t>Colorado</t>
  </si>
  <si>
    <t>Arkansas</t>
  </si>
  <si>
    <t>Kansas</t>
  </si>
  <si>
    <t>Maryland</t>
  </si>
  <si>
    <t>Roberta Alemida</t>
  </si>
  <si>
    <t>Michelle McGourty</t>
  </si>
  <si>
    <t>Donna DuMarce</t>
  </si>
  <si>
    <t>Kathleen Haas</t>
  </si>
  <si>
    <t>DeAnn Arnott</t>
  </si>
  <si>
    <t>Date</t>
  </si>
  <si>
    <t>Billable Calls</t>
  </si>
  <si>
    <t>Lead Spend</t>
  </si>
  <si>
    <t>Closing %</t>
  </si>
  <si>
    <t>John Homan</t>
  </si>
  <si>
    <t>Effective</t>
  </si>
  <si>
    <t>Alice Jackson</t>
  </si>
  <si>
    <t>Ila Ibarra</t>
  </si>
  <si>
    <t>Katherine Torres</t>
  </si>
  <si>
    <t>Catherine Mills</t>
  </si>
  <si>
    <t>Kevin Bolton</t>
  </si>
  <si>
    <t>Carrier</t>
  </si>
  <si>
    <t>MOO</t>
  </si>
  <si>
    <t>Ethos</t>
  </si>
  <si>
    <t>Trans</t>
  </si>
  <si>
    <t>Humbert Jones</t>
  </si>
  <si>
    <t>Jesse Hill</t>
  </si>
  <si>
    <t>Vincent West</t>
  </si>
  <si>
    <t>Jacinta Mitchell</t>
  </si>
  <si>
    <t>CoreBridge</t>
  </si>
  <si>
    <t>Edwin Esturiene</t>
  </si>
  <si>
    <t>Carldon Hardin</t>
  </si>
  <si>
    <t>Terry Altom</t>
  </si>
  <si>
    <t>Tonia Woods</t>
  </si>
  <si>
    <t>Dan Sheteron</t>
  </si>
  <si>
    <t>Americo</t>
  </si>
  <si>
    <t>Russell Bush</t>
  </si>
  <si>
    <t>Stephanie Pree</t>
  </si>
  <si>
    <t>Cheri Rangitsch</t>
  </si>
  <si>
    <t>Martin Wollemberg</t>
  </si>
  <si>
    <t>Kathryn Holland</t>
  </si>
  <si>
    <t>Cancel</t>
  </si>
  <si>
    <t>Active</t>
  </si>
  <si>
    <t>Anita Kirkwood</t>
  </si>
  <si>
    <t>Jeanne Hahn</t>
  </si>
  <si>
    <t>Loretta Mack</t>
  </si>
  <si>
    <t>Comp %</t>
  </si>
  <si>
    <t>Susan Witt</t>
  </si>
  <si>
    <t>Kelly Pettit</t>
  </si>
  <si>
    <t>Thomas Hill</t>
  </si>
  <si>
    <t>CICA</t>
  </si>
  <si>
    <t>Carol Garneau</t>
  </si>
  <si>
    <t>Winfred Cortimiglia</t>
  </si>
  <si>
    <t>Audrey Patrick</t>
  </si>
  <si>
    <t>Tony Moldanado</t>
  </si>
  <si>
    <t>Sylvia Bell</t>
  </si>
  <si>
    <t>Sandra Bishop</t>
  </si>
  <si>
    <t>Kimberley Purser</t>
  </si>
  <si>
    <t>Ramel Rodriguez</t>
  </si>
  <si>
    <t>Aurelio Anchondo</t>
  </si>
  <si>
    <t>Jessie Riddle</t>
  </si>
  <si>
    <t>Lucinda Murphy-Lacy</t>
  </si>
  <si>
    <t>Hazellani Davis</t>
  </si>
  <si>
    <t>Joyce Williams</t>
  </si>
  <si>
    <t>Elizabeth Bravo</t>
  </si>
  <si>
    <t>Mary McCoy</t>
  </si>
  <si>
    <t>Jack Yelton</t>
  </si>
  <si>
    <t>Teresa Jackson</t>
  </si>
  <si>
    <t>Closes</t>
  </si>
  <si>
    <t>Cost / Call</t>
  </si>
  <si>
    <t>Client</t>
  </si>
  <si>
    <t>Status</t>
  </si>
  <si>
    <t>Annual Premium</t>
  </si>
  <si>
    <t>Paid</t>
  </si>
  <si>
    <t>In Pipe</t>
  </si>
  <si>
    <t>Total</t>
  </si>
  <si>
    <t>INBOUND LEADS — DASHBOARD</t>
  </si>
  <si>
    <t>Live summary — pulls from the Inbound Calls and Inbound Clients tabs. Add rows there and this updates automatically.</t>
  </si>
  <si>
    <t>Commission Advance %</t>
  </si>
  <si>
    <t>← input: % of annual premium carriers advance upfront</t>
  </si>
  <si>
    <t>LEAD ACTIVITY</t>
  </si>
  <si>
    <t>Days Logged</t>
  </si>
  <si>
    <t>Avg Cost / Call</t>
  </si>
  <si>
    <t>BOOK OF BUSINESS</t>
  </si>
  <si>
    <t>Total Clients</t>
  </si>
  <si>
    <t>Cancelled</t>
  </si>
  <si>
    <t>Cancel %</t>
  </si>
  <si>
    <t>Active Annual Premium</t>
  </si>
  <si>
    <t>Avg Premium (Active)</t>
  </si>
  <si>
    <t>Avg Monthly Premium</t>
  </si>
  <si>
    <t>Avg Comp % (Active)</t>
  </si>
  <si>
    <t>COMMISSIONS &amp; RETURN</t>
  </si>
  <si>
    <t>Paid to Date</t>
  </si>
  <si>
    <t>In Pipe (outstanding)</t>
  </si>
  <si>
    <t>Total Expected (Paid + Pipe)</t>
  </si>
  <si>
    <t>ROI (Active AP / Lead Spend)</t>
  </si>
  <si>
    <t>Profit (Paid − Lead Spend)</t>
  </si>
  <si>
    <t>Profit incl. Pipe</t>
  </si>
  <si>
    <t>CARRIER BREAKDOWN</t>
  </si>
  <si>
    <t>Active Policies</t>
  </si>
  <si>
    <t>Active AP</t>
  </si>
  <si>
    <t>Category</t>
  </si>
  <si>
    <t>Item</t>
  </si>
  <si>
    <t>Amount</t>
  </si>
  <si>
    <t>Months</t>
  </si>
  <si>
    <t>Aged Leads</t>
  </si>
  <si>
    <t>Monthly Tools</t>
  </si>
  <si>
    <t>Dials</t>
  </si>
  <si>
    <t>Licensing</t>
  </si>
  <si>
    <t>South Carolina</t>
  </si>
  <si>
    <t>Virginia</t>
  </si>
  <si>
    <t>Nebraska (fail)</t>
  </si>
  <si>
    <t>New Mexico (fail)</t>
  </si>
  <si>
    <t>Michigan (fail)</t>
  </si>
  <si>
    <t>Connecticut</t>
  </si>
  <si>
    <t>Kentucky (fail)</t>
  </si>
  <si>
    <t>West Virginia (fail)</t>
  </si>
  <si>
    <t>Louisiana</t>
  </si>
  <si>
    <t>Charged Back</t>
  </si>
  <si>
    <t>BUSINESS SUMMARY — ALL CHANNELS</t>
  </si>
  <si>
    <t>Combines the Inbound and Aged-Lead channels with shared overhead. Pulls live from the Inbound, Expenses, and Aged Lead Clients tabs.</t>
  </si>
  <si>
    <t>REVENUE</t>
  </si>
  <si>
    <t>Inbound — Paid</t>
  </si>
  <si>
    <t>Aged Leads — Paid</t>
  </si>
  <si>
    <t>Total Paid Revenue</t>
  </si>
  <si>
    <t>Chargebacks</t>
  </si>
  <si>
    <t>Net Revenue</t>
  </si>
  <si>
    <t>EXPENSES</t>
  </si>
  <si>
    <t>Inbound — Lead Spend</t>
  </si>
  <si>
    <t>Aged Leads — Lead Spend</t>
  </si>
  <si>
    <t>Licensing (Exams + State)</t>
  </si>
  <si>
    <t>Total Expenses</t>
  </si>
  <si>
    <t>PROFIT</t>
  </si>
  <si>
    <t>NET PROFIT (Combined)</t>
  </si>
  <si>
    <t xml:space="preserve">   Inbound channel (Paid − Lead Spend)</t>
  </si>
  <si>
    <t xml:space="preserve">   Aged-Lead channel (Paid − Lead Spend)</t>
  </si>
  <si>
    <t xml:space="preserve">   Less: Shared Overhead (tools, dials, licensing)</t>
  </si>
  <si>
    <t xml:space="preserve">   Less: Chargebacks</t>
  </si>
  <si>
    <t>PIPELINE &amp; POTENTIAL</t>
  </si>
  <si>
    <t>Inbound — In Pipe</t>
  </si>
  <si>
    <t>Aged Leads — In Pipe</t>
  </si>
  <si>
    <t>Total Pipeline</t>
  </si>
  <si>
    <t>Potential (Net Profit + Pipeline)</t>
  </si>
  <si>
    <t>Note: the build-up (Inbound + Aged − Shared Overhead − Chargebacks) reconciles to NET PROFIT. The old Overall sheet excluded the inbound channel and did not deduct the $529 chargeback.</t>
  </si>
  <si>
    <t>Reference Lists</t>
  </si>
  <si>
    <t>Add new carriers at the bottom of this list — they flow to the Inbound Clients dropdown and the Inbound carrier breakdown automatically.</t>
  </si>
  <si>
    <t>CHARGEBACKS</t>
  </si>
  <si>
    <t>Auto-updates. Any inbound client set to "Cancel" that was already paid appears here, alongside aged-lead chargebacks. The total feeds the Chargebacks line on the Summary.</t>
  </si>
  <si>
    <t>TOTAL CHARGEBACKS</t>
  </si>
  <si>
    <t>Cancelled Inbound Clients</t>
  </si>
  <si>
    <t>Aged-Lead Chargebacks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</si>
</sst>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%"/>
    <numFmt numFmtId="167" formatCode="&quot;$&quot;#,##0"/>
    <numFmt numFmtId="168" formatCode="&quot;$&quot;#,##0.00"/>
    <numFmt numFmtId="169" formatCode="0.00&quot;x&quot;"/>
    <numFmt numFmtId="170" formatCode="&quot;$&quot;#,##0;\(&quot;$&quot;#,##0\)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6"/>
      <color rgb="FF2E7D32"/>
      <name val="Aptos Narrow"/>
      <family val="2"/>
      <scheme val="minor"/>
    </font>
    <font>
      <b/>
      <sz val="14"/>
      <color rgb="FF2E7D32"/>
      <name val="Aptos Narrow"/>
      <family val="2"/>
      <scheme val="minor"/>
    </font>
    <font>
      <b/>
      <sz val="16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16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0" fontId="2" fillId="0" borderId="0" xfId="0" applyFont="1"/>
    <xf numFmtId="0" fontId="1" fillId="0" borderId="0" xfId="0" applyFont="1"/>
    <xf numFmtId="9" fontId="4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3" fontId="0" fillId="0" borderId="0" xfId="0" applyNumberFormat="1" applyBorder="1" applyAlignment="1">
      <alignment horizontal="right"/>
    </xf>
    <xf numFmtId="167" fontId="0" fillId="0" borderId="0" xfId="0" applyNumberFormat="1" applyBorder="1" applyAlignment="1">
      <alignment horizontal="right"/>
    </xf>
    <xf numFmtId="0" fontId="0" fillId="0" borderId="4" xfId="0" applyBorder="1"/>
    <xf numFmtId="0" fontId="0" fillId="0" borderId="5" xfId="0" applyBorder="1"/>
    <xf numFmtId="3" fontId="0" fillId="0" borderId="7" xfId="0" applyNumberForma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167" fontId="0" fillId="0" borderId="7" xfId="0" applyNumberFormat="1" applyBorder="1" applyAlignment="1">
      <alignment horizontal="right"/>
    </xf>
    <xf numFmtId="168" fontId="0" fillId="0" borderId="8" xfId="0" applyNumberFormat="1" applyBorder="1" applyAlignment="1">
      <alignment horizontal="right"/>
    </xf>
    <xf numFmtId="168" fontId="0" fillId="0" borderId="7" xfId="0" applyNumberFormat="1" applyBorder="1" applyAlignment="1">
      <alignment horizontal="right"/>
    </xf>
    <xf numFmtId="9" fontId="0" fillId="0" borderId="8" xfId="0" applyNumberFormat="1" applyBorder="1" applyAlignment="1">
      <alignment horizontal="right"/>
    </xf>
    <xf numFmtId="169" fontId="1" fillId="0" borderId="7" xfId="0" applyNumberFormat="1" applyFont="1" applyBorder="1" applyAlignment="1">
      <alignment horizontal="right"/>
    </xf>
    <xf numFmtId="170" fontId="1" fillId="0" borderId="7" xfId="0" applyNumberFormat="1" applyFont="1" applyBorder="1" applyAlignment="1">
      <alignment horizontal="right"/>
    </xf>
    <xf numFmtId="170" fontId="1" fillId="0" borderId="8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 applyAlignment="1">
      <alignment horizontal="right"/>
    </xf>
    <xf numFmtId="167" fontId="1" fillId="0" borderId="8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70" fontId="0" fillId="0" borderId="7" xfId="0" applyNumberFormat="1" applyBorder="1" applyAlignment="1">
      <alignment horizontal="right"/>
    </xf>
    <xf numFmtId="170" fontId="1" fillId="2" borderId="7" xfId="0" applyNumberFormat="1" applyFont="1" applyFill="1" applyBorder="1" applyAlignment="1">
      <alignment horizontal="right"/>
    </xf>
    <xf numFmtId="170" fontId="0" fillId="0" borderId="8" xfId="0" applyNumberFormat="1" applyBorder="1" applyAlignment="1">
      <alignment horizontal="right"/>
    </xf>
    <xf numFmtId="0" fontId="3" fillId="3" borderId="3" xfId="0" applyFont="1" applyFill="1" applyBorder="1"/>
    <xf numFmtId="0" fontId="0" fillId="3" borderId="6" xfId="0" applyFill="1" applyBorder="1"/>
    <xf numFmtId="0" fontId="5" fillId="0" borderId="0" xfId="0" applyFont="1"/>
    <xf numFmtId="0" fontId="0" fillId="3" borderId="1" xfId="0" applyFill="1" applyBorder="1"/>
    <xf numFmtId="0" fontId="0" fillId="4" borderId="0" xfId="0" applyFill="1"/>
    <xf numFmtId="0" fontId="3" fillId="4" borderId="0" xfId="0" applyFont="1" applyFill="1"/>
    <xf numFmtId="0" fontId="6" fillId="0" borderId="0" xfId="0" applyFont="1"/>
    <xf numFmtId="0" fontId="7" fillId="0" borderId="0" xfId="0" applyFont="1"/>
    <xf numFmtId="168" fontId="1" fillId="5" borderId="0" xfId="0" applyNumberFormat="1" applyFont="1" applyFill="1" applyAlignment="1">
      <alignment horizontal="right"/>
    </xf>
  </cellXfs>
  <cellStyles count="1">
    <cellStyle name="Normal" xfId="0" builtinId="0"/>
  </cellStyles>
  <dxfs count="20"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color rgb="FFFFFFFF"/>
      </font>
      <fill>
        <patternFill patternType="solid">
          <fgColor indexed="64"/>
          <bgColor rgb="FFE06666"/>
        </patternFill>
      </fill>
    </dxf>
    <dxf>
      <numFmt numFmtId="167" formatCode="&quot;$&quot;#,##0"/>
    </dxf>
    <dxf>
      <numFmt numFmtId="3" formatCode="#,##0"/>
    </dxf>
    <dxf>
      <numFmt numFmtId="167" formatCode="&quot;$&quot;#,##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3" formatCode="0%"/>
    </dxf>
    <dxf>
      <numFmt numFmtId="167" formatCode="&quot;$&quot;#,##0"/>
    </dxf>
    <dxf>
      <numFmt numFmtId="21" formatCode="d\-mmm"/>
    </dxf>
    <dxf>
      <numFmt numFmtId="167" formatCode="&quot;$&quot;#,##0"/>
    </dxf>
    <dxf>
      <numFmt numFmtId="168" formatCode="&quot;$&quot;#,##0.00"/>
    </dxf>
    <dxf>
      <numFmt numFmtId="168" formatCode="&quot;$&quot;#,##0.00"/>
    </dxf>
    <dxf>
      <numFmt numFmtId="167" formatCode="&quot;$&quot;#,##0"/>
    </dxf>
    <dxf>
      <numFmt numFmtId="166" formatCode="0.0%"/>
    </dxf>
    <dxf>
      <numFmt numFmtId="3" formatCode="#,##0"/>
    </dxf>
    <dxf>
      <numFmt numFmtId="3" formatCode="#,##0"/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CD4D4-5B8B-DF44-86D8-2D8BDCB3EBAE}" name="tInboundCalls" displayName="tInboundCalls" ref="A1:F27">
  <autoFilter ref="A1:F27" xr:uid="{BC3CD4D4-5B8B-DF44-86D8-2D8BDCB3EBAE}"/>
  <tableColumns count="6">
    <tableColumn id="1" xr3:uid="{37414529-619C-924F-BF95-43D7A88BE222}" name="Date" totalsRowLabel="Total" dataDxfId="19"/>
    <tableColumn id="2" xr3:uid="{FE597B0D-D523-5C40-9110-0DCA512360BC}" name="Billable Calls" totalsRowFunction="sum" dataDxfId="18"/>
    <tableColumn id="3" xr3:uid="{EF14CEB3-84B6-4B45-B85E-1FF12F097017}" name="Closes" totalsRowFunction="sum" dataDxfId="17"/>
    <tableColumn id="4" xr3:uid="{B74695BA-31A1-EF40-B9E2-189EEADA3C93}" name="Closing %" totalsRowFunction="custom" dataDxfId="16">
      <calculatedColumnFormula>IF(B2=0,0,C2/B2)</calculatedColumnFormula>
      <totalsRowFormula>IFERROR(tInboundCalls[[#Totals],[Closes]]/tInboundCalls[[#Totals],[Billable Calls]],0)</totalsRowFormula>
    </tableColumn>
    <tableColumn id="5" xr3:uid="{C5C3E680-4638-4F4C-B885-4EAF12589B17}" name="Lead Spend" totalsRowFunction="sum" dataDxfId="15"/>
    <tableColumn id="6" xr3:uid="{42B0AFE5-0C5C-A447-A3C8-3CB473447924}" name="Cost / Call" totalsRowFunction="custom" dataDxfId="14" totalsRowDxfId="13">
      <calculatedColumnFormula>IF(B2=0,0,E2/B2)</calculatedColumnFormula>
      <totalsRowFormula>IFERROR(tInboundCalls[[#Totals],[Lead Spend]]/tInboundCalls[[#Totals],[Billable Calls]],0)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BCAE6C-0811-284F-9CAF-0B225CB78A7A}" name="tInboundClients" displayName="tInboundClients" ref="A1:H44">
  <autoFilter ref="A1:H44" xr:uid="{FABCAE6C-0811-284F-9CAF-0B225CB78A7A}"/>
  <tableColumns count="8">
    <tableColumn id="1" xr3:uid="{012B9120-494A-7748-958B-35D07CF11EAD}" name="Client" totalsRowLabel="Total"/>
    <tableColumn id="2" xr3:uid="{B7FEC75E-2922-0B4A-90CF-BE4BC40CA073}" name="Effective" dataDxfId="11"/>
    <tableColumn id="3" xr3:uid="{D6D3AE67-20B5-A149-9DC6-327ABBD61663}" name="Carrier"/>
    <tableColumn id="4" xr3:uid="{FC3740F3-27B6-444D-A389-2D05F53CBD13}" name="Status"/>
    <tableColumn id="5" xr3:uid="{18E0C4CB-118D-BA4A-9D2A-EDE743BE5215}" name="Annual Premium" totalsRowFunction="sum" dataDxfId="10"/>
    <tableColumn id="6" xr3:uid="{B9B400A8-2031-DC40-8C2B-011543A3B379}" name="Comp %" dataDxfId="9"/>
    <tableColumn id="7" xr3:uid="{396DD8F0-004C-C74F-84C8-FB8143595CE8}" name="Paid" totalsRowFunction="sum" dataDxfId="8"/>
    <tableColumn id="8" xr3:uid="{83ABA16B-F16D-9545-90CE-8DED02ADB507}" name="In Pipe" totalsRowFunction="sum" dataDxfId="6" totalsRowDxfId="7">
      <calculatedColumnFormula>IF(AND(D2="Active",OR(G2=0,G2="")),E2*F2*Inbound!$B$4,0)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92F8D9-4D4E-0C4B-9599-5DD9B13D2CCB}" name="tAgedClients" displayName="tAgedClients" ref="A1:C28" totalsRowShown="0">
  <autoFilter ref="A1:C28" xr:uid="{7192F8D9-4D4E-0C4B-9599-5DD9B13D2CCB}"/>
  <tableColumns count="3">
    <tableColumn id="1" xr3:uid="{F3078B70-26A1-724D-B356-A32E4B01256C}" name="Client"/>
    <tableColumn id="2" xr3:uid="{7E2CD1C7-487E-A144-8263-CB733569EA79}" name="Status"/>
    <tableColumn id="3" xr3:uid="{19E5E163-B7D6-594D-908A-CEC23DF29E1A}" name="Amount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8D8CC2-254E-B24B-8CB3-9DD32C44C063}" name="tExpenses" displayName="tExpenses" ref="A1:E32" totalsRowShown="0" headerRowDxfId="2">
  <autoFilter ref="A1:E32" xr:uid="{738D8CC2-254E-B24B-8CB3-9DD32C44C063}"/>
  <tableColumns count="5">
    <tableColumn id="1" xr3:uid="{FDE516B7-DC38-6F4A-88FD-5E110304A39A}" name="Category"/>
    <tableColumn id="2" xr3:uid="{7F9BDE73-1083-5643-AEEC-F78BD3C5703B}" name="Item"/>
    <tableColumn id="3" xr3:uid="{2D453366-F0CF-604C-8525-60AB81E35277}" name="Amount" dataDxfId="5"/>
    <tableColumn id="4" xr3:uid="{B4AFA3E6-A6F9-F140-885F-164DA35360D0}" name="Months" dataDxfId="4"/>
    <tableColumn id="5" xr3:uid="{F0D6F87E-718D-0643-AA71-1FFE37AF3EF8}" name="Total" dataDxfId="3">
      <calculatedColumnFormula>C2*D2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A426F-38E7-024D-AF5C-0B832ECFA9C0}" name="tCarriers" displayName="tCarriers" ref="A4:A10" totalsRowShown="0">
  <autoFilter ref="A4:A10" xr:uid="{817A426F-38E7-024D-AF5C-0B832ECFA9C0}"/>
  <tableColumns count="1">
    <tableColumn id="1" xr3:uid="{894CB3E7-44EF-654D-9A5D-875E9F1000BD}" name="Carrier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73DEFD-7E1D-6E40-B8C2-C652FD9D78D2}" name="tStatuses" displayName="tStatuses" ref="C4:C6" totalsRowShown="0" headerRowDxfId="1">
  <autoFilter ref="C4:C6" xr:uid="{6673DEFD-7E1D-6E40-B8C2-C652FD9D78D2}"/>
  <tableColumns count="1">
    <tableColumn id="1" xr3:uid="{D81FFD9F-BA5E-3E42-9EFF-116CD4E4F621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8B12B2-1B24-8A49-85F9-F61F03B28A9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e227acc-3993-4e56-b778-cabd0b172c29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758D-2B6C-8042-A158-0B3889AECFFB}">
  <dimension ref="A1:B32"/>
  <sheetViews>
    <sheetView zoomScale="101" workbookViewId="0">
      <selection activeCell="C15" sqref="C15"/>
    </sheetView>
  </sheetViews>
  <sheetFormatPr baseColWidth="10" defaultRowHeight="16" x14ac:dyDescent="0.2"/>
  <cols>
    <col min="1" max="1" width="50" customWidth="1"/>
    <col min="2" max="2" width="15.83203125" customWidth="1"/>
  </cols>
  <sheetData>
    <row r="1" spans="1:2" ht="22" x14ac:dyDescent="0.3">
      <c r="A1" s="37" t="s">
        <v>157</v>
      </c>
    </row>
    <row r="2" spans="1:2" x14ac:dyDescent="0.2">
      <c r="A2" s="7" t="s">
        <v>158</v>
      </c>
    </row>
    <row r="4" spans="1:2" x14ac:dyDescent="0.2">
      <c r="A4" s="35" t="s">
        <v>159</v>
      </c>
      <c r="B4" s="36"/>
    </row>
    <row r="5" spans="1:2" x14ac:dyDescent="0.2">
      <c r="A5" s="13" t="s">
        <v>160</v>
      </c>
      <c r="B5" s="17">
        <f>Inbound!B25</f>
        <v>8914.4700000000012</v>
      </c>
    </row>
    <row r="6" spans="1:2" x14ac:dyDescent="0.2">
      <c r="A6" s="13" t="s">
        <v>161</v>
      </c>
      <c r="B6" s="17">
        <f>SUMIFS(tAgedClients[Amount],tAgedClients[Status],"Paid")</f>
        <v>19913</v>
      </c>
    </row>
    <row r="7" spans="1:2" x14ac:dyDescent="0.2">
      <c r="A7" s="13" t="s">
        <v>162</v>
      </c>
      <c r="B7" s="31">
        <f>B5+B6</f>
        <v>28827.47</v>
      </c>
    </row>
    <row r="8" spans="1:2" x14ac:dyDescent="0.2">
      <c r="A8" s="13" t="s">
        <v>163</v>
      </c>
      <c r="B8" s="32">
        <f>-(SUMIFS(tAgedClients[Amount],tAgedClients[Status],"Charged Back")+SUMIFS(tInboundClients[Paid],tInboundClients[Status],"Cancel"))</f>
        <v>-529</v>
      </c>
    </row>
    <row r="9" spans="1:2" x14ac:dyDescent="0.2">
      <c r="A9" s="14" t="s">
        <v>164</v>
      </c>
      <c r="B9" s="30">
        <f>B7+B8</f>
        <v>28298.47</v>
      </c>
    </row>
    <row r="11" spans="1:2" x14ac:dyDescent="0.2">
      <c r="A11" s="35" t="s">
        <v>165</v>
      </c>
      <c r="B11" s="36"/>
    </row>
    <row r="12" spans="1:2" x14ac:dyDescent="0.2">
      <c r="A12" s="13" t="s">
        <v>166</v>
      </c>
      <c r="B12" s="17">
        <f>Inbound!B11</f>
        <v>6690</v>
      </c>
    </row>
    <row r="13" spans="1:2" x14ac:dyDescent="0.2">
      <c r="A13" s="13" t="s">
        <v>167</v>
      </c>
      <c r="B13" s="17">
        <f>SUMIFS(tExpenses[Total],tExpenses[Category],"Lead Spend")</f>
        <v>12063</v>
      </c>
    </row>
    <row r="14" spans="1:2" x14ac:dyDescent="0.2">
      <c r="A14" s="13" t="s">
        <v>144</v>
      </c>
      <c r="B14" s="17">
        <f>SUMIFS(tExpenses[Total],tExpenses[Category],"Monthly Tools")</f>
        <v>2800</v>
      </c>
    </row>
    <row r="15" spans="1:2" x14ac:dyDescent="0.2">
      <c r="A15" s="13" t="s">
        <v>33</v>
      </c>
      <c r="B15" s="17">
        <f>SUMIFS(tExpenses[Total],tExpenses[Category],"Dials")</f>
        <v>500</v>
      </c>
    </row>
    <row r="16" spans="1:2" x14ac:dyDescent="0.2">
      <c r="A16" s="13" t="s">
        <v>168</v>
      </c>
      <c r="B16" s="17">
        <f>SUMIFS(tExpenses[Total],tExpenses[Category],"Licensing")</f>
        <v>2637</v>
      </c>
    </row>
    <row r="17" spans="1:2" x14ac:dyDescent="0.2">
      <c r="A17" s="14" t="s">
        <v>169</v>
      </c>
      <c r="B17" s="30">
        <f>SUM(B12:B16)</f>
        <v>24690</v>
      </c>
    </row>
    <row r="19" spans="1:2" x14ac:dyDescent="0.2">
      <c r="A19" s="35" t="s">
        <v>170</v>
      </c>
      <c r="B19" s="36"/>
    </row>
    <row r="20" spans="1:2" x14ac:dyDescent="0.2">
      <c r="A20" s="13" t="s">
        <v>171</v>
      </c>
      <c r="B20" s="33">
        <f>B9-B17</f>
        <v>3608.4700000000012</v>
      </c>
    </row>
    <row r="21" spans="1:2" x14ac:dyDescent="0.2">
      <c r="A21" s="13" t="s">
        <v>172</v>
      </c>
      <c r="B21" s="32">
        <f>B5-B12</f>
        <v>2224.4700000000012</v>
      </c>
    </row>
    <row r="22" spans="1:2" x14ac:dyDescent="0.2">
      <c r="A22" s="13" t="s">
        <v>173</v>
      </c>
      <c r="B22" s="32">
        <f>B6-B13</f>
        <v>7850</v>
      </c>
    </row>
    <row r="23" spans="1:2" x14ac:dyDescent="0.2">
      <c r="A23" s="13" t="s">
        <v>174</v>
      </c>
      <c r="B23" s="32">
        <f>-(B14+B15+B16)</f>
        <v>-5937</v>
      </c>
    </row>
    <row r="24" spans="1:2" x14ac:dyDescent="0.2">
      <c r="A24" s="14" t="s">
        <v>175</v>
      </c>
      <c r="B24" s="34">
        <f>B8</f>
        <v>-529</v>
      </c>
    </row>
    <row r="26" spans="1:2" x14ac:dyDescent="0.2">
      <c r="A26" s="35" t="s">
        <v>176</v>
      </c>
      <c r="B26" s="36"/>
    </row>
    <row r="27" spans="1:2" x14ac:dyDescent="0.2">
      <c r="A27" s="13" t="s">
        <v>177</v>
      </c>
      <c r="B27" s="17">
        <f>Inbound!B26</f>
        <v>9052.6649999999991</v>
      </c>
    </row>
    <row r="28" spans="1:2" x14ac:dyDescent="0.2">
      <c r="A28" s="13" t="s">
        <v>178</v>
      </c>
      <c r="B28" s="17">
        <f>SUMIFS(tAgedClients[Amount],tAgedClients[Status],"In Pipe")</f>
        <v>2367</v>
      </c>
    </row>
    <row r="29" spans="1:2" x14ac:dyDescent="0.2">
      <c r="A29" s="13" t="s">
        <v>179</v>
      </c>
      <c r="B29" s="31">
        <f>B27+B28</f>
        <v>11419.664999999999</v>
      </c>
    </row>
    <row r="30" spans="1:2" x14ac:dyDescent="0.2">
      <c r="A30" s="14" t="s">
        <v>180</v>
      </c>
      <c r="B30" s="23">
        <f>B20+B29</f>
        <v>15028.135</v>
      </c>
    </row>
    <row r="32" spans="1:2" x14ac:dyDescent="0.2">
      <c r="A32" s="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4C98-ECE6-DE4C-BE8B-E3D156F925E7}">
  <dimension ref="A1:G30"/>
  <sheetViews>
    <sheetView workbookViewId="0">
      <selection activeCell="C30" sqref="C30"/>
    </sheetView>
  </sheetViews>
  <sheetFormatPr baseColWidth="10" defaultRowHeight="16" x14ac:dyDescent="0.2"/>
  <cols>
    <col min="1" max="1" width="30" customWidth="1"/>
    <col min="2" max="2" width="14.1640625" customWidth="1"/>
    <col min="3" max="3" width="41.6640625" customWidth="1"/>
    <col min="4" max="4" width="15.83203125" customWidth="1"/>
    <col min="5" max="5" width="16.6640625" customWidth="1"/>
    <col min="6" max="6" width="14.1640625" customWidth="1"/>
    <col min="7" max="7" width="13.33203125" customWidth="1"/>
    <col min="9" max="9" width="15" bestFit="1" customWidth="1"/>
    <col min="10" max="10" width="18.33203125" bestFit="1" customWidth="1"/>
    <col min="11" max="11" width="8.5" bestFit="1" customWidth="1"/>
    <col min="12" max="12" width="15.1640625" bestFit="1" customWidth="1"/>
  </cols>
  <sheetData>
    <row r="1" spans="1:7" ht="22" x14ac:dyDescent="0.3">
      <c r="A1" s="37" t="s">
        <v>114</v>
      </c>
    </row>
    <row r="2" spans="1:7" x14ac:dyDescent="0.2">
      <c r="A2" s="7" t="s">
        <v>115</v>
      </c>
    </row>
    <row r="4" spans="1:7" x14ac:dyDescent="0.2">
      <c r="A4" s="8" t="s">
        <v>116</v>
      </c>
      <c r="B4" s="9">
        <v>0.75</v>
      </c>
      <c r="C4" s="7" t="s">
        <v>117</v>
      </c>
    </row>
    <row r="6" spans="1:7" x14ac:dyDescent="0.2">
      <c r="A6" s="35" t="s">
        <v>118</v>
      </c>
      <c r="B6" s="36"/>
      <c r="D6" s="35" t="s">
        <v>136</v>
      </c>
      <c r="E6" s="38"/>
      <c r="F6" s="38"/>
      <c r="G6" s="36"/>
    </row>
    <row r="7" spans="1:7" x14ac:dyDescent="0.2">
      <c r="A7" s="13" t="s">
        <v>119</v>
      </c>
      <c r="B7" s="15">
        <f>COUNT(tInboundCalls[Date])</f>
        <v>26</v>
      </c>
      <c r="D7" s="27" t="s">
        <v>59</v>
      </c>
      <c r="E7" s="24" t="s">
        <v>137</v>
      </c>
      <c r="F7" s="24" t="s">
        <v>138</v>
      </c>
      <c r="G7" s="29" t="s">
        <v>112</v>
      </c>
    </row>
    <row r="8" spans="1:7" x14ac:dyDescent="0.2">
      <c r="A8" s="13" t="s">
        <v>49</v>
      </c>
      <c r="B8" s="15">
        <f>SUM(tInboundCalls[Billable Calls])</f>
        <v>120</v>
      </c>
      <c r="D8" s="13" t="str" cm="1">
        <f t="array" ref="D8">IFERROR(INDEX(CarrierList,ROW()-ROW($D$7)),"")</f>
        <v>MOO</v>
      </c>
      <c r="E8" s="11">
        <f>IF($D8="","",COUNTIFS(tInboundClients[Carrier],$D8,tInboundClients[Status],"Active"))</f>
        <v>4</v>
      </c>
      <c r="F8" s="12">
        <f>IF($D8="","",SUMIFS(tInboundClients[Annual Premium],tInboundClients[Carrier],$D8))</f>
        <v>3200</v>
      </c>
      <c r="G8" s="17">
        <f>IF($D8="","",SUMIFS(tInboundClients[In Pipe],tInboundClients[Carrier],$D8))</f>
        <v>1050.78</v>
      </c>
    </row>
    <row r="9" spans="1:7" x14ac:dyDescent="0.2">
      <c r="A9" s="13" t="s">
        <v>106</v>
      </c>
      <c r="B9" s="15">
        <f>SUM(tInboundCalls[Closes])</f>
        <v>43</v>
      </c>
      <c r="D9" s="13" t="str" cm="1">
        <f t="array" ref="D9">IFERROR(INDEX(CarrierList,ROW()-ROW($D$7)),"")</f>
        <v>Ethos</v>
      </c>
      <c r="E9" s="11">
        <f>IF($D9="","",COUNTIFS(tInboundClients[Carrier],$D9,tInboundClients[Status],"Active"))</f>
        <v>13</v>
      </c>
      <c r="F9" s="12">
        <f>IF($D9="","",SUMIFS(tInboundClients[Annual Premium],tInboundClients[Carrier],$D9))</f>
        <v>14318</v>
      </c>
      <c r="G9" s="17">
        <f>IF($D9="","",SUMIFS(tInboundClients[In Pipe],tInboundClients[Carrier],$D9))</f>
        <v>2426.6475</v>
      </c>
    </row>
    <row r="10" spans="1:7" x14ac:dyDescent="0.2">
      <c r="A10" s="13" t="s">
        <v>51</v>
      </c>
      <c r="B10" s="16">
        <f>IFERROR(B9/B8,0)</f>
        <v>0.35833333333333334</v>
      </c>
      <c r="D10" s="13" t="str" cm="1">
        <f t="array" ref="D10">IFERROR(INDEX(CarrierList,ROW()-ROW($D$7)),"")</f>
        <v>Trans</v>
      </c>
      <c r="E10" s="11">
        <f>IF($D10="","",COUNTIFS(tInboundClients[Carrier],$D10,tInboundClients[Status],"Active"))</f>
        <v>8</v>
      </c>
      <c r="F10" s="12">
        <f>IF($D10="","",SUMIFS(tInboundClients[Annual Premium],tInboundClients[Carrier],$D10))</f>
        <v>5425</v>
      </c>
      <c r="G10" s="17">
        <f>IF($D10="","",SUMIFS(tInboundClients[In Pipe],tInboundClients[Carrier],$D10))</f>
        <v>1750.5</v>
      </c>
    </row>
    <row r="11" spans="1:7" x14ac:dyDescent="0.2">
      <c r="A11" s="13" t="s">
        <v>50</v>
      </c>
      <c r="B11" s="17">
        <f>SUM(tInboundCalls[Lead Spend])</f>
        <v>6690</v>
      </c>
      <c r="D11" s="13" t="str" cm="1">
        <f t="array" ref="D11">IFERROR(INDEX(CarrierList,ROW()-ROW($D$7)),"")</f>
        <v>CoreBridge</v>
      </c>
      <c r="E11" s="11">
        <f>IF($D11="","",COUNTIFS(tInboundClients[Carrier],$D11,tInboundClients[Status],"Active"))</f>
        <v>6</v>
      </c>
      <c r="F11" s="12">
        <f>IF($D11="","",SUMIFS(tInboundClients[Annual Premium],tInboundClients[Carrier],$D11))</f>
        <v>4468</v>
      </c>
      <c r="G11" s="17">
        <f>IF($D11="","",SUMIFS(tInboundClients[In Pipe],tInboundClients[Carrier],$D11))</f>
        <v>1909.8000000000002</v>
      </c>
    </row>
    <row r="12" spans="1:7" x14ac:dyDescent="0.2">
      <c r="A12" s="14" t="s">
        <v>120</v>
      </c>
      <c r="B12" s="18">
        <f>IFERROR(B11/B8,0)</f>
        <v>55.75</v>
      </c>
      <c r="D12" s="13" t="str" cm="1">
        <f t="array" ref="D12">IFERROR(INDEX(CarrierList,ROW()-ROW($D$7)),"")</f>
        <v>Americo</v>
      </c>
      <c r="E12" s="11">
        <f>IF($D12="","",COUNTIFS(tInboundClients[Carrier],$D12,tInboundClients[Status],"Active"))</f>
        <v>2</v>
      </c>
      <c r="F12" s="12">
        <f>IF($D12="","",SUMIFS(tInboundClients[Annual Premium],tInboundClients[Carrier],$D12))</f>
        <v>1717</v>
      </c>
      <c r="G12" s="17">
        <f>IF($D12="","",SUMIFS(tInboundClients[In Pipe],tInboundClients[Carrier],$D12))</f>
        <v>644.8125</v>
      </c>
    </row>
    <row r="13" spans="1:7" x14ac:dyDescent="0.2">
      <c r="D13" s="13" t="str" cm="1">
        <f t="array" ref="D13">IFERROR(INDEX(CarrierList,ROW()-ROW($D$7)),"")</f>
        <v>CICA</v>
      </c>
      <c r="E13" s="11">
        <f>IF($D13="","",COUNTIFS(tInboundClients[Carrier],$D13,tInboundClients[Status],"Active"))</f>
        <v>1</v>
      </c>
      <c r="F13" s="12">
        <f>IF($D13="","",SUMIFS(tInboundClients[Annual Premium],tInboundClients[Carrier],$D13))</f>
        <v>3387</v>
      </c>
      <c r="G13" s="17">
        <f>IF($D13="","",SUMIFS(tInboundClients[In Pipe],tInboundClients[Carrier],$D13))</f>
        <v>1270.125</v>
      </c>
    </row>
    <row r="14" spans="1:7" x14ac:dyDescent="0.2">
      <c r="A14" s="35" t="s">
        <v>121</v>
      </c>
      <c r="B14" s="36"/>
      <c r="D14" s="13" t="str" cm="1">
        <f t="array" ref="D14">IFERROR(INDEX(CarrierList,ROW()-ROW($D$7)),"")</f>
        <v/>
      </c>
      <c r="E14" s="11" t="str">
        <f>IF($D14="","",COUNTIFS(tInboundClients[Carrier],$D14,tInboundClients[Status],"Active"))</f>
        <v/>
      </c>
      <c r="F14" s="12" t="str">
        <f>IF($D14="","",SUMIFS(tInboundClients[Annual Premium],tInboundClients[Carrier],$D14))</f>
        <v/>
      </c>
      <c r="G14" s="17" t="str">
        <f>IF($D14="","",SUMIFS(tInboundClients[In Pipe],tInboundClients[Carrier],$D14))</f>
        <v/>
      </c>
    </row>
    <row r="15" spans="1:7" x14ac:dyDescent="0.2">
      <c r="A15" s="13" t="s">
        <v>122</v>
      </c>
      <c r="B15" s="15">
        <f>COUNTA(tInboundClients[Client])</f>
        <v>43</v>
      </c>
      <c r="D15" s="13" t="str" cm="1">
        <f t="array" ref="D15">IFERROR(INDEX(CarrierList,ROW()-ROW($D$7)),"")</f>
        <v/>
      </c>
      <c r="E15" s="11" t="str">
        <f>IF($D15="","",COUNTIFS(tInboundClients[Carrier],$D15,tInboundClients[Status],"Active"))</f>
        <v/>
      </c>
      <c r="F15" s="12" t="str">
        <f>IF($D15="","",SUMIFS(tInboundClients[Annual Premium],tInboundClients[Carrier],$D15))</f>
        <v/>
      </c>
      <c r="G15" s="17" t="str">
        <f>IF($D15="","",SUMIFS(tInboundClients[In Pipe],tInboundClients[Carrier],$D15))</f>
        <v/>
      </c>
    </row>
    <row r="16" spans="1:7" x14ac:dyDescent="0.2">
      <c r="A16" s="13" t="s">
        <v>80</v>
      </c>
      <c r="B16" s="15">
        <f>COUNTIF(tInboundClients[Status],"Active")</f>
        <v>34</v>
      </c>
      <c r="D16" s="13" t="str" cm="1">
        <f t="array" ref="D16">IFERROR(INDEX(CarrierList,ROW()-ROW($D$7)),"")</f>
        <v/>
      </c>
      <c r="E16" s="11" t="str">
        <f>IF($D16="","",COUNTIFS(tInboundClients[Carrier],$D16,tInboundClients[Status],"Active"))</f>
        <v/>
      </c>
      <c r="F16" s="12" t="str">
        <f>IF($D16="","",SUMIFS(tInboundClients[Annual Premium],tInboundClients[Carrier],$D16))</f>
        <v/>
      </c>
      <c r="G16" s="17" t="str">
        <f>IF($D16="","",SUMIFS(tInboundClients[In Pipe],tInboundClients[Carrier],$D16))</f>
        <v/>
      </c>
    </row>
    <row r="17" spans="1:7" x14ac:dyDescent="0.2">
      <c r="A17" s="13" t="s">
        <v>123</v>
      </c>
      <c r="B17" s="15">
        <f>COUNTIF(tInboundClients[Status],"Cancel")</f>
        <v>9</v>
      </c>
      <c r="D17" s="28" t="s">
        <v>113</v>
      </c>
      <c r="E17" s="25">
        <f>SUM(E8:E16)</f>
        <v>34</v>
      </c>
      <c r="F17" s="26">
        <f>SUM(F8:F16)</f>
        <v>32515</v>
      </c>
      <c r="G17" s="30">
        <f>SUM(G8:G16)</f>
        <v>9052.6650000000009</v>
      </c>
    </row>
    <row r="18" spans="1:7" x14ac:dyDescent="0.2">
      <c r="A18" s="13" t="s">
        <v>124</v>
      </c>
      <c r="B18" s="16">
        <f>IFERROR(B17/(B16+B17),0)</f>
        <v>0.20930232558139536</v>
      </c>
    </row>
    <row r="19" spans="1:7" x14ac:dyDescent="0.2">
      <c r="A19" s="13" t="s">
        <v>125</v>
      </c>
      <c r="B19" s="17">
        <f>SUM(tInboundClients[Annual Premium])</f>
        <v>32515</v>
      </c>
    </row>
    <row r="20" spans="1:7" x14ac:dyDescent="0.2">
      <c r="A20" s="13" t="s">
        <v>126</v>
      </c>
      <c r="B20" s="17">
        <f>IFERROR(B19/B16,0)</f>
        <v>956.32352941176475</v>
      </c>
    </row>
    <row r="21" spans="1:7" x14ac:dyDescent="0.2">
      <c r="A21" s="13" t="s">
        <v>127</v>
      </c>
      <c r="B21" s="19">
        <f>IFERROR(B20/12,0)</f>
        <v>79.693627450980401</v>
      </c>
    </row>
    <row r="22" spans="1:7" x14ac:dyDescent="0.2">
      <c r="A22" s="14" t="s">
        <v>128</v>
      </c>
      <c r="B22" s="20">
        <f>IFERROR(AVERAGEIF(tInboundClients[Status],"Active",tInboundClients[Comp %]),0)</f>
        <v>0.83000000000000007</v>
      </c>
    </row>
    <row r="24" spans="1:7" x14ac:dyDescent="0.2">
      <c r="A24" s="35" t="s">
        <v>129</v>
      </c>
      <c r="B24" s="36"/>
    </row>
    <row r="25" spans="1:7" x14ac:dyDescent="0.2">
      <c r="A25" s="13" t="s">
        <v>130</v>
      </c>
      <c r="B25" s="17">
        <f>SUM(tInboundClients[Paid])</f>
        <v>8914.4700000000012</v>
      </c>
    </row>
    <row r="26" spans="1:7" x14ac:dyDescent="0.2">
      <c r="A26" s="13" t="s">
        <v>131</v>
      </c>
      <c r="B26" s="17">
        <f>SUM(tInboundClients[In Pipe])</f>
        <v>9052.6649999999991</v>
      </c>
    </row>
    <row r="27" spans="1:7" x14ac:dyDescent="0.2">
      <c r="A27" s="13" t="s">
        <v>132</v>
      </c>
      <c r="B27" s="17">
        <f>B25+B26</f>
        <v>17967.135000000002</v>
      </c>
    </row>
    <row r="28" spans="1:7" x14ac:dyDescent="0.2">
      <c r="A28" s="13" t="s">
        <v>133</v>
      </c>
      <c r="B28" s="21">
        <f>IFERROR(B19/B11,0)</f>
        <v>4.8602391629297461</v>
      </c>
    </row>
    <row r="29" spans="1:7" x14ac:dyDescent="0.2">
      <c r="A29" s="13" t="s">
        <v>134</v>
      </c>
      <c r="B29" s="22">
        <f>B25-B11</f>
        <v>2224.4700000000012</v>
      </c>
    </row>
    <row r="30" spans="1:7" x14ac:dyDescent="0.2">
      <c r="A30" s="14" t="s">
        <v>135</v>
      </c>
      <c r="B30" s="23">
        <f>B25+B26-B11</f>
        <v>11277.135000000002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1CF0-1476-1645-91C7-2E966C264936}">
  <dimension ref="A1:F27"/>
  <sheetViews>
    <sheetView workbookViewId="0">
      <selection activeCell="F32" sqref="F32"/>
    </sheetView>
  </sheetViews>
  <sheetFormatPr baseColWidth="10" defaultRowHeight="16" x14ac:dyDescent="0.2"/>
  <cols>
    <col min="1" max="1" width="11.6640625" customWidth="1"/>
    <col min="2" max="6" width="14.1640625" customWidth="1"/>
  </cols>
  <sheetData>
    <row r="1" spans="1:6" x14ac:dyDescent="0.2">
      <c r="A1" t="s">
        <v>48</v>
      </c>
      <c r="B1" t="s">
        <v>49</v>
      </c>
      <c r="C1" t="s">
        <v>106</v>
      </c>
      <c r="D1" t="s">
        <v>51</v>
      </c>
      <c r="E1" t="s">
        <v>50</v>
      </c>
      <c r="F1" t="s">
        <v>107</v>
      </c>
    </row>
    <row r="2" spans="1:6" x14ac:dyDescent="0.2">
      <c r="A2" s="1">
        <v>46141</v>
      </c>
      <c r="B2" s="2">
        <v>3</v>
      </c>
      <c r="C2" s="2">
        <v>2</v>
      </c>
      <c r="D2" s="3">
        <f>IF(B2=0,0,C2/B2)</f>
        <v>0.66666666666666663</v>
      </c>
      <c r="E2" s="4">
        <v>150</v>
      </c>
      <c r="F2" s="5">
        <f>IF(B2=0,0,E2/B2)</f>
        <v>50</v>
      </c>
    </row>
    <row r="3" spans="1:6" x14ac:dyDescent="0.2">
      <c r="A3" s="1">
        <v>46142</v>
      </c>
      <c r="B3" s="2">
        <v>3</v>
      </c>
      <c r="C3" s="2">
        <v>2</v>
      </c>
      <c r="D3" s="3">
        <f>IF(B3=0,0,C3/B3)</f>
        <v>0.66666666666666663</v>
      </c>
      <c r="E3" s="4">
        <v>150</v>
      </c>
      <c r="F3" s="5">
        <f>IF(B3=0,0,E3/B3)</f>
        <v>50</v>
      </c>
    </row>
    <row r="4" spans="1:6" x14ac:dyDescent="0.2">
      <c r="A4" s="1">
        <v>46143</v>
      </c>
      <c r="B4" s="2">
        <v>3</v>
      </c>
      <c r="C4" s="2">
        <v>1</v>
      </c>
      <c r="D4" s="3">
        <f>IF(B4=0,0,C4/B4)</f>
        <v>0.33333333333333331</v>
      </c>
      <c r="E4" s="4">
        <v>150</v>
      </c>
      <c r="F4" s="5">
        <f>IF(B4=0,0,E4/B4)</f>
        <v>50</v>
      </c>
    </row>
    <row r="5" spans="1:6" x14ac:dyDescent="0.2">
      <c r="A5" s="1">
        <v>46144</v>
      </c>
      <c r="B5" s="2">
        <v>2</v>
      </c>
      <c r="C5" s="2">
        <v>0</v>
      </c>
      <c r="D5" s="3">
        <f>IF(B5=0,0,C5/B5)</f>
        <v>0</v>
      </c>
      <c r="E5" s="4">
        <v>100</v>
      </c>
      <c r="F5" s="5">
        <f>IF(B5=0,0,E5/B5)</f>
        <v>50</v>
      </c>
    </row>
    <row r="6" spans="1:6" x14ac:dyDescent="0.2">
      <c r="A6" s="1">
        <v>46146</v>
      </c>
      <c r="B6" s="2">
        <v>2</v>
      </c>
      <c r="C6" s="2">
        <v>1</v>
      </c>
      <c r="D6" s="3">
        <f>IF(B6=0,0,C6/B6)</f>
        <v>0.5</v>
      </c>
      <c r="E6" s="4">
        <v>140</v>
      </c>
      <c r="F6" s="5">
        <f>IF(B6=0,0,E6/B6)</f>
        <v>70</v>
      </c>
    </row>
    <row r="7" spans="1:6" x14ac:dyDescent="0.2">
      <c r="A7" s="1">
        <v>46147</v>
      </c>
      <c r="B7" s="2">
        <v>4</v>
      </c>
      <c r="C7" s="2">
        <v>1</v>
      </c>
      <c r="D7" s="3">
        <f>IF(B7=0,0,C7/B7)</f>
        <v>0.25</v>
      </c>
      <c r="E7" s="4">
        <v>270</v>
      </c>
      <c r="F7" s="5">
        <f>IF(B7=0,0,E7/B7)</f>
        <v>67.5</v>
      </c>
    </row>
    <row r="8" spans="1:6" x14ac:dyDescent="0.2">
      <c r="A8" s="1">
        <v>46148</v>
      </c>
      <c r="B8" s="2">
        <v>3</v>
      </c>
      <c r="C8" s="2">
        <v>2</v>
      </c>
      <c r="D8" s="3">
        <f>IF(B8=0,0,C8/B8)</f>
        <v>0.66666666666666663</v>
      </c>
      <c r="E8" s="4">
        <v>210</v>
      </c>
      <c r="F8" s="5">
        <f>IF(B8=0,0,E8/B8)</f>
        <v>70</v>
      </c>
    </row>
    <row r="9" spans="1:6" x14ac:dyDescent="0.2">
      <c r="A9" s="1">
        <v>46149</v>
      </c>
      <c r="B9" s="2">
        <v>5</v>
      </c>
      <c r="C9" s="2">
        <v>4</v>
      </c>
      <c r="D9" s="3">
        <f>IF(B9=0,0,C9/B9)</f>
        <v>0.8</v>
      </c>
      <c r="E9" s="4">
        <v>435</v>
      </c>
      <c r="F9" s="5">
        <f>IF(B9=0,0,E9/B9)</f>
        <v>87</v>
      </c>
    </row>
    <row r="10" spans="1:6" x14ac:dyDescent="0.2">
      <c r="A10" s="1">
        <v>46150</v>
      </c>
      <c r="B10" s="2">
        <v>6</v>
      </c>
      <c r="C10" s="2">
        <v>1</v>
      </c>
      <c r="D10" s="3">
        <f>IF(B10=0,0,C10/B10)</f>
        <v>0.16666666666666666</v>
      </c>
      <c r="E10" s="4">
        <v>410</v>
      </c>
      <c r="F10" s="5">
        <f>IF(B10=0,0,E10/B10)</f>
        <v>68.333333333333329</v>
      </c>
    </row>
    <row r="11" spans="1:6" x14ac:dyDescent="0.2">
      <c r="A11" s="1">
        <v>46153</v>
      </c>
      <c r="B11" s="2">
        <v>6</v>
      </c>
      <c r="C11" s="2">
        <v>2</v>
      </c>
      <c r="D11" s="3">
        <f>IF(B11=0,0,C11/B11)</f>
        <v>0.33333333333333331</v>
      </c>
      <c r="E11" s="4">
        <v>475</v>
      </c>
      <c r="F11" s="5">
        <f>IF(B11=0,0,E11/B11)</f>
        <v>79.166666666666671</v>
      </c>
    </row>
    <row r="12" spans="1:6" x14ac:dyDescent="0.2">
      <c r="A12" s="1">
        <v>46154</v>
      </c>
      <c r="B12" s="2">
        <v>6</v>
      </c>
      <c r="C12" s="2">
        <v>2</v>
      </c>
      <c r="D12" s="3">
        <f>IF(B12=0,0,C12/B12)</f>
        <v>0.33333333333333331</v>
      </c>
      <c r="E12" s="4">
        <v>350</v>
      </c>
      <c r="F12" s="5">
        <f>IF(B12=0,0,E12/B12)</f>
        <v>58.333333333333336</v>
      </c>
    </row>
    <row r="13" spans="1:6" x14ac:dyDescent="0.2">
      <c r="A13" s="1">
        <v>46160</v>
      </c>
      <c r="B13" s="2">
        <v>5</v>
      </c>
      <c r="C13" s="2">
        <v>2</v>
      </c>
      <c r="D13" s="3">
        <f>IF(B13=0,0,C13/B13)</f>
        <v>0.4</v>
      </c>
      <c r="E13" s="4">
        <v>250</v>
      </c>
      <c r="F13" s="5">
        <f>IF(B13=0,0,E13/B13)</f>
        <v>50</v>
      </c>
    </row>
    <row r="14" spans="1:6" x14ac:dyDescent="0.2">
      <c r="A14" s="1">
        <v>46161</v>
      </c>
      <c r="B14" s="2">
        <v>8</v>
      </c>
      <c r="C14" s="2">
        <v>3</v>
      </c>
      <c r="D14" s="3">
        <f>IF(B14=0,0,C14/B14)</f>
        <v>0.375</v>
      </c>
      <c r="E14" s="4">
        <v>400</v>
      </c>
      <c r="F14" s="5">
        <f>IF(B14=0,0,E14/B14)</f>
        <v>50</v>
      </c>
    </row>
    <row r="15" spans="1:6" x14ac:dyDescent="0.2">
      <c r="A15" s="1">
        <v>46162</v>
      </c>
      <c r="B15" s="2">
        <v>2</v>
      </c>
      <c r="C15" s="2">
        <v>1</v>
      </c>
      <c r="D15" s="3">
        <f>IF(B15=0,0,C15/B15)</f>
        <v>0.5</v>
      </c>
      <c r="E15" s="4">
        <v>100</v>
      </c>
      <c r="F15" s="5">
        <f>IF(B15=0,0,E15/B15)</f>
        <v>50</v>
      </c>
    </row>
    <row r="16" spans="1:6" x14ac:dyDescent="0.2">
      <c r="A16" s="1">
        <v>46163</v>
      </c>
      <c r="B16" s="2">
        <v>4</v>
      </c>
      <c r="C16" s="2">
        <v>1</v>
      </c>
      <c r="D16" s="3">
        <f>IF(B16=0,0,C16/B16)</f>
        <v>0.25</v>
      </c>
      <c r="E16" s="4">
        <v>200</v>
      </c>
      <c r="F16" s="5">
        <f>IF(B16=0,0,E16/B16)</f>
        <v>50</v>
      </c>
    </row>
    <row r="17" spans="1:6" x14ac:dyDescent="0.2">
      <c r="A17" s="1">
        <v>46164</v>
      </c>
      <c r="B17" s="2">
        <v>4</v>
      </c>
      <c r="C17" s="2">
        <v>1</v>
      </c>
      <c r="D17" s="3">
        <f>IF(B17=0,0,C17/B17)</f>
        <v>0.25</v>
      </c>
      <c r="E17" s="4">
        <v>200</v>
      </c>
      <c r="F17" s="5">
        <f>IF(B17=0,0,E17/B17)</f>
        <v>50</v>
      </c>
    </row>
    <row r="18" spans="1:6" x14ac:dyDescent="0.2">
      <c r="A18" s="1">
        <v>46174</v>
      </c>
      <c r="B18" s="2">
        <v>6</v>
      </c>
      <c r="C18" s="2">
        <v>2</v>
      </c>
      <c r="D18" s="3">
        <f>IF(B18=0,0,C18/B18)</f>
        <v>0.33333333333333331</v>
      </c>
      <c r="E18" s="4">
        <v>300</v>
      </c>
      <c r="F18" s="5">
        <f>IF(B18=0,0,E18/B18)</f>
        <v>50</v>
      </c>
    </row>
    <row r="19" spans="1:6" x14ac:dyDescent="0.2">
      <c r="A19" s="1">
        <v>46175</v>
      </c>
      <c r="B19" s="2">
        <v>9</v>
      </c>
      <c r="C19" s="2">
        <v>0</v>
      </c>
      <c r="D19" s="3">
        <f>IF(B19=0,0,C19/B19)</f>
        <v>0</v>
      </c>
      <c r="E19" s="4">
        <v>450</v>
      </c>
      <c r="F19" s="5">
        <f>IF(B19=0,0,E19/B19)</f>
        <v>50</v>
      </c>
    </row>
    <row r="20" spans="1:6" x14ac:dyDescent="0.2">
      <c r="A20" s="1">
        <v>46176</v>
      </c>
      <c r="B20" s="2">
        <v>3</v>
      </c>
      <c r="C20" s="2">
        <v>3</v>
      </c>
      <c r="D20" s="3">
        <f>IF(B20=0,0,C20/B20)</f>
        <v>1</v>
      </c>
      <c r="E20" s="4">
        <v>150</v>
      </c>
      <c r="F20" s="5">
        <f>IF(B20=0,0,E20/B20)</f>
        <v>50</v>
      </c>
    </row>
    <row r="21" spans="1:6" x14ac:dyDescent="0.2">
      <c r="A21" s="1">
        <v>46177</v>
      </c>
      <c r="B21" s="2">
        <v>5</v>
      </c>
      <c r="C21" s="2">
        <v>2</v>
      </c>
      <c r="D21" s="3">
        <f>IF(B21=0,0,C21/B21)</f>
        <v>0.4</v>
      </c>
      <c r="E21" s="4">
        <v>250</v>
      </c>
      <c r="F21" s="5">
        <f>IF(B21=0,0,E21/B21)</f>
        <v>50</v>
      </c>
    </row>
    <row r="22" spans="1:6" x14ac:dyDescent="0.2">
      <c r="A22" s="1">
        <v>46178</v>
      </c>
      <c r="B22" s="2">
        <v>8</v>
      </c>
      <c r="C22" s="2">
        <v>0</v>
      </c>
      <c r="D22" s="3">
        <f>IF(B22=0,0,C22/B22)</f>
        <v>0</v>
      </c>
      <c r="E22" s="4">
        <v>400</v>
      </c>
      <c r="F22" s="5">
        <f>IF(B22=0,0,E22/B22)</f>
        <v>50</v>
      </c>
    </row>
    <row r="23" spans="1:6" x14ac:dyDescent="0.2">
      <c r="A23" s="1">
        <v>46181</v>
      </c>
      <c r="B23" s="2">
        <v>7</v>
      </c>
      <c r="C23" s="2">
        <v>3</v>
      </c>
      <c r="D23" s="3">
        <f>IF(B23=0,0,C23/B23)</f>
        <v>0.42857142857142855</v>
      </c>
      <c r="E23" s="4">
        <v>350</v>
      </c>
      <c r="F23" s="5">
        <f>IF(B23=0,0,E23/B23)</f>
        <v>50</v>
      </c>
    </row>
    <row r="24" spans="1:6" x14ac:dyDescent="0.2">
      <c r="A24" s="1">
        <v>46182</v>
      </c>
      <c r="B24" s="2">
        <v>5</v>
      </c>
      <c r="C24" s="2">
        <v>3</v>
      </c>
      <c r="D24" s="3">
        <f>IF(B24=0,0,C24/B24)</f>
        <v>0.6</v>
      </c>
      <c r="E24" s="4">
        <v>250</v>
      </c>
      <c r="F24" s="5">
        <f>IF(B24=0,0,E24/B24)</f>
        <v>50</v>
      </c>
    </row>
    <row r="25" spans="1:6" x14ac:dyDescent="0.2">
      <c r="A25" s="1">
        <v>46183</v>
      </c>
      <c r="B25" s="2">
        <v>5</v>
      </c>
      <c r="C25" s="2">
        <v>1</v>
      </c>
      <c r="D25" s="3">
        <f>IF(B25=0,0,C25/B25)</f>
        <v>0.2</v>
      </c>
      <c r="E25" s="4">
        <v>250</v>
      </c>
      <c r="F25" s="5">
        <f>IF(B25=0,0,E25/B25)</f>
        <v>50</v>
      </c>
    </row>
    <row r="26" spans="1:6" x14ac:dyDescent="0.2">
      <c r="A26" s="1">
        <v>46184</v>
      </c>
      <c r="B26" s="2">
        <v>3</v>
      </c>
      <c r="C26" s="2">
        <v>2</v>
      </c>
      <c r="D26" s="3">
        <f>IF(B26=0,0,C26/B26)</f>
        <v>0.66666666666666663</v>
      </c>
      <c r="E26" s="4">
        <v>150</v>
      </c>
      <c r="F26" s="5">
        <f>IF(B26=0,0,E26/B26)</f>
        <v>50</v>
      </c>
    </row>
    <row r="27" spans="1:6" x14ac:dyDescent="0.2">
      <c r="A27" s="1">
        <v>46185</v>
      </c>
      <c r="B27" s="2">
        <v>3</v>
      </c>
      <c r="C27" s="2">
        <v>1</v>
      </c>
      <c r="D27" s="3">
        <f>IF(B27=0,0,C27/B27)</f>
        <v>0.33333333333333331</v>
      </c>
      <c r="E27" s="4">
        <v>150</v>
      </c>
      <c r="F27" s="5">
        <f>IF(B27=0,0,E27/B27)</f>
        <v>50</v>
      </c>
    </row>
  </sheetData>
  <dataValidations count="1">
    <dataValidation type="date" allowBlank="1" showInputMessage="1" showErrorMessage="1" errorTitle="Not a valid date" error="Please enter a real date, e.g. 6/14/2026." promptTitle="Enter a date" prompt="Type a date (e.g. 6/14/2026 or 14-Jun-2026) and press Enter." sqref="A2:A1000" xr:uid="{D8692E83-A4B0-9B4D-89B5-34228F42A57E}">
      <formula1>36526</formula1>
      <formula2>73415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A223-C58A-D449-9000-3C49CCE3A775}">
  <dimension ref="A1:H44"/>
  <sheetViews>
    <sheetView topLeftCell="A13" workbookViewId="0">
      <selection activeCell="G34" sqref="G34"/>
    </sheetView>
  </sheetViews>
  <sheetFormatPr baseColWidth="10" defaultRowHeight="16" x14ac:dyDescent="0.2"/>
  <cols>
    <col min="1" max="1" width="21.6640625" customWidth="1"/>
    <col min="2" max="8" width="13.33203125" customWidth="1"/>
  </cols>
  <sheetData>
    <row r="1" spans="1:8" x14ac:dyDescent="0.2">
      <c r="A1" t="s">
        <v>108</v>
      </c>
      <c r="B1" t="s">
        <v>53</v>
      </c>
      <c r="C1" t="s">
        <v>59</v>
      </c>
      <c r="D1" t="s">
        <v>109</v>
      </c>
      <c r="E1" t="s">
        <v>110</v>
      </c>
      <c r="F1" t="s">
        <v>84</v>
      </c>
      <c r="G1" t="s">
        <v>111</v>
      </c>
      <c r="H1" t="s">
        <v>112</v>
      </c>
    </row>
    <row r="2" spans="1:8" x14ac:dyDescent="0.2">
      <c r="A2" t="s">
        <v>52</v>
      </c>
      <c r="B2" s="1">
        <v>46157</v>
      </c>
      <c r="C2" t="s">
        <v>60</v>
      </c>
      <c r="D2" t="s">
        <v>79</v>
      </c>
      <c r="E2" s="4"/>
      <c r="F2" s="6">
        <v>0.86</v>
      </c>
      <c r="G2" s="5"/>
      <c r="H2" s="5">
        <f>IF(AND(D2="Active",OR(G2=0,G2="")),E2*F2*Inbound!$B$4,0)</f>
        <v>0</v>
      </c>
    </row>
    <row r="3" spans="1:8" x14ac:dyDescent="0.2">
      <c r="A3" t="s">
        <v>54</v>
      </c>
      <c r="B3" s="1">
        <v>46171</v>
      </c>
      <c r="C3" t="s">
        <v>61</v>
      </c>
      <c r="D3" t="s">
        <v>79</v>
      </c>
      <c r="E3" s="4"/>
      <c r="F3" s="6">
        <v>0.87</v>
      </c>
      <c r="G3" s="5"/>
      <c r="H3" s="5">
        <f>IF(AND(D3="Active",OR(G3=0,G3="")),E3*F3*Inbound!$B$4,0)</f>
        <v>0</v>
      </c>
    </row>
    <row r="4" spans="1:8" x14ac:dyDescent="0.2">
      <c r="A4" t="s">
        <v>55</v>
      </c>
      <c r="B4" s="1">
        <v>46144</v>
      </c>
      <c r="C4" t="s">
        <v>62</v>
      </c>
      <c r="D4" t="s">
        <v>80</v>
      </c>
      <c r="E4" s="4">
        <v>353</v>
      </c>
      <c r="F4" s="6">
        <v>1</v>
      </c>
      <c r="G4" s="5"/>
      <c r="H4" s="5">
        <f>IF(AND(D4="Active",OR(G4=0,G4="")),E4*F4*Inbound!$B$4,0)</f>
        <v>264.75</v>
      </c>
    </row>
    <row r="5" spans="1:8" x14ac:dyDescent="0.2">
      <c r="A5" t="s">
        <v>56</v>
      </c>
      <c r="B5" s="1">
        <v>46169</v>
      </c>
      <c r="C5" t="s">
        <v>60</v>
      </c>
      <c r="D5" t="s">
        <v>79</v>
      </c>
      <c r="E5" s="4"/>
      <c r="F5" s="6">
        <v>0.86</v>
      </c>
      <c r="G5" s="5"/>
      <c r="H5" s="5">
        <f>IF(AND(D5="Active",OR(G5=0,G5="")),E5*F5*Inbound!$B$4,0)</f>
        <v>0</v>
      </c>
    </row>
    <row r="6" spans="1:8" x14ac:dyDescent="0.2">
      <c r="A6" t="s">
        <v>57</v>
      </c>
      <c r="B6" s="1">
        <v>46151</v>
      </c>
      <c r="C6" t="s">
        <v>61</v>
      </c>
      <c r="D6" t="s">
        <v>80</v>
      </c>
      <c r="E6" s="4">
        <v>1128</v>
      </c>
      <c r="F6" s="6">
        <v>0.87</v>
      </c>
      <c r="G6" s="5">
        <v>355</v>
      </c>
      <c r="H6" s="5">
        <f>IF(AND(D6="Active",OR(G6=0,G6="")),E6*F6*Inbound!$B$4,0)</f>
        <v>0</v>
      </c>
    </row>
    <row r="7" spans="1:8" x14ac:dyDescent="0.2">
      <c r="A7" t="s">
        <v>58</v>
      </c>
      <c r="B7" s="1">
        <v>46146</v>
      </c>
      <c r="C7" t="s">
        <v>61</v>
      </c>
      <c r="D7" t="s">
        <v>80</v>
      </c>
      <c r="E7" s="4">
        <v>1154</v>
      </c>
      <c r="F7" s="6">
        <v>0.87</v>
      </c>
      <c r="G7" s="5">
        <v>662</v>
      </c>
      <c r="H7" s="5">
        <f>IF(AND(D7="Active",OR(G7=0,G7="")),E7*F7*Inbound!$B$4,0)</f>
        <v>0</v>
      </c>
    </row>
    <row r="8" spans="1:8" x14ac:dyDescent="0.2">
      <c r="A8" t="s">
        <v>63</v>
      </c>
      <c r="B8" s="1">
        <v>46147</v>
      </c>
      <c r="C8" t="s">
        <v>61</v>
      </c>
      <c r="D8" t="s">
        <v>79</v>
      </c>
      <c r="E8" s="4"/>
      <c r="F8" s="6">
        <v>0.87</v>
      </c>
      <c r="G8" s="5"/>
      <c r="H8" s="5">
        <f>IF(AND(D8="Active",OR(G8=0,G8="")),E8*F8*Inbound!$B$4,0)</f>
        <v>0</v>
      </c>
    </row>
    <row r="9" spans="1:8" x14ac:dyDescent="0.2">
      <c r="A9" t="s">
        <v>64</v>
      </c>
      <c r="B9" s="1">
        <v>46148</v>
      </c>
      <c r="C9" t="s">
        <v>61</v>
      </c>
      <c r="D9" t="s">
        <v>80</v>
      </c>
      <c r="E9" s="4">
        <v>2428</v>
      </c>
      <c r="F9" s="6">
        <v>0.87</v>
      </c>
      <c r="G9" s="5">
        <v>1450</v>
      </c>
      <c r="H9" s="5">
        <f>IF(AND(D9="Active",OR(G9=0,G9="")),E9*F9*Inbound!$B$4,0)</f>
        <v>0</v>
      </c>
    </row>
    <row r="10" spans="1:8" x14ac:dyDescent="0.2">
      <c r="A10" t="s">
        <v>65</v>
      </c>
      <c r="B10" s="1">
        <v>46176</v>
      </c>
      <c r="C10" t="s">
        <v>61</v>
      </c>
      <c r="D10" t="s">
        <v>80</v>
      </c>
      <c r="E10" s="4">
        <v>1042</v>
      </c>
      <c r="F10" s="6">
        <v>0.87</v>
      </c>
      <c r="G10" s="5">
        <v>592.47</v>
      </c>
      <c r="H10" s="5">
        <f>IF(AND(D10="Active",OR(G10=0,G10="")),E10*F10*Inbound!$B$4,0)</f>
        <v>0</v>
      </c>
    </row>
    <row r="11" spans="1:8" x14ac:dyDescent="0.2">
      <c r="A11" t="s">
        <v>66</v>
      </c>
      <c r="B11" s="1">
        <v>46153</v>
      </c>
      <c r="C11" t="s">
        <v>67</v>
      </c>
      <c r="D11" t="s">
        <v>80</v>
      </c>
      <c r="E11" s="4">
        <v>740</v>
      </c>
      <c r="F11" s="6">
        <v>0.6</v>
      </c>
      <c r="G11" s="5"/>
      <c r="H11" s="5">
        <f>IF(AND(D11="Active",OR(G11=0,G11="")),E11*F11*Inbound!$B$4,0)</f>
        <v>333</v>
      </c>
    </row>
    <row r="12" spans="1:8" x14ac:dyDescent="0.2">
      <c r="A12" t="s">
        <v>68</v>
      </c>
      <c r="B12" s="1">
        <v>46154</v>
      </c>
      <c r="C12" t="s">
        <v>60</v>
      </c>
      <c r="D12" t="s">
        <v>80</v>
      </c>
      <c r="E12" s="4">
        <v>888</v>
      </c>
      <c r="F12" s="6">
        <v>0.86</v>
      </c>
      <c r="G12" s="5">
        <v>574</v>
      </c>
      <c r="H12" s="5">
        <f>IF(AND(D12="Active",OR(G12=0,G12="")),E12*F12*Inbound!$B$4,0)</f>
        <v>0</v>
      </c>
    </row>
    <row r="13" spans="1:8" x14ac:dyDescent="0.2">
      <c r="A13" t="s">
        <v>69</v>
      </c>
      <c r="B13" s="1">
        <v>46160</v>
      </c>
      <c r="C13" t="s">
        <v>62</v>
      </c>
      <c r="D13" t="s">
        <v>79</v>
      </c>
      <c r="E13" s="4"/>
      <c r="F13" s="6">
        <v>0.86</v>
      </c>
      <c r="G13" s="5"/>
      <c r="H13" s="5">
        <f>IF(AND(D13="Active",OR(G13=0,G13="")),E13*F13*Inbound!$B$4,0)</f>
        <v>0</v>
      </c>
    </row>
    <row r="14" spans="1:8" x14ac:dyDescent="0.2">
      <c r="A14" t="s">
        <v>70</v>
      </c>
      <c r="B14" s="1">
        <v>46161</v>
      </c>
      <c r="C14" t="s">
        <v>61</v>
      </c>
      <c r="D14" t="s">
        <v>80</v>
      </c>
      <c r="E14" s="4">
        <v>837</v>
      </c>
      <c r="F14" s="6">
        <v>0.87</v>
      </c>
      <c r="G14" s="5">
        <v>465</v>
      </c>
      <c r="H14" s="5">
        <f>IF(AND(D14="Active",OR(G14=0,G14="")),E14*F14*Inbound!$B$4,0)</f>
        <v>0</v>
      </c>
    </row>
    <row r="15" spans="1:8" x14ac:dyDescent="0.2">
      <c r="A15" t="s">
        <v>71</v>
      </c>
      <c r="B15" s="1">
        <v>46157</v>
      </c>
      <c r="C15" t="s">
        <v>62</v>
      </c>
      <c r="D15" t="s">
        <v>80</v>
      </c>
      <c r="E15" s="4">
        <v>865</v>
      </c>
      <c r="F15" s="6">
        <v>1</v>
      </c>
      <c r="G15" s="5">
        <v>649</v>
      </c>
      <c r="H15" s="5">
        <f>IF(AND(D15="Active",OR(G15=0,G15="")),E15*F15*Inbound!$B$4,0)</f>
        <v>0</v>
      </c>
    </row>
    <row r="16" spans="1:8" x14ac:dyDescent="0.2">
      <c r="A16" t="s">
        <v>72</v>
      </c>
      <c r="B16" s="1">
        <v>46176</v>
      </c>
      <c r="C16" t="s">
        <v>73</v>
      </c>
      <c r="D16" t="s">
        <v>80</v>
      </c>
      <c r="E16" s="4">
        <v>812</v>
      </c>
      <c r="F16" s="6">
        <v>0.95</v>
      </c>
      <c r="G16" s="5">
        <v>579</v>
      </c>
      <c r="H16" s="5">
        <f>IF(AND(D16="Active",OR(G16=0,G16="")),E16*F16*Inbound!$B$4,0)</f>
        <v>0</v>
      </c>
    </row>
    <row r="17" spans="1:8" x14ac:dyDescent="0.2">
      <c r="A17" t="s">
        <v>74</v>
      </c>
      <c r="B17" s="1">
        <v>46164</v>
      </c>
      <c r="C17" t="s">
        <v>61</v>
      </c>
      <c r="D17" t="s">
        <v>80</v>
      </c>
      <c r="E17" s="4">
        <v>1713</v>
      </c>
      <c r="F17" s="6">
        <v>0.87</v>
      </c>
      <c r="G17" s="5">
        <v>1008</v>
      </c>
      <c r="H17" s="5">
        <f>IF(AND(D17="Active",OR(G17=0,G17="")),E17*F17*Inbound!$B$4,0)</f>
        <v>0</v>
      </c>
    </row>
    <row r="18" spans="1:8" x14ac:dyDescent="0.2">
      <c r="A18" t="s">
        <v>75</v>
      </c>
      <c r="B18" s="1">
        <v>46176</v>
      </c>
      <c r="C18" t="s">
        <v>62</v>
      </c>
      <c r="D18" t="s">
        <v>80</v>
      </c>
      <c r="E18" s="4">
        <v>700</v>
      </c>
      <c r="F18" s="6">
        <v>1</v>
      </c>
      <c r="G18" s="5"/>
      <c r="H18" s="5">
        <f>IF(AND(D18="Active",OR(G18=0,G18="")),E18*F18*Inbound!$B$4,0)</f>
        <v>525</v>
      </c>
    </row>
    <row r="19" spans="1:8" x14ac:dyDescent="0.2">
      <c r="A19" t="s">
        <v>76</v>
      </c>
      <c r="B19" s="1">
        <v>46154</v>
      </c>
      <c r="C19" t="s">
        <v>60</v>
      </c>
      <c r="D19" t="s">
        <v>80</v>
      </c>
      <c r="E19" s="4">
        <v>464</v>
      </c>
      <c r="F19" s="6">
        <v>0.86</v>
      </c>
      <c r="G19" s="5">
        <v>297</v>
      </c>
      <c r="H19" s="5">
        <f>IF(AND(D19="Active",OR(G19=0,G19="")),E19*F19*Inbound!$B$4,0)</f>
        <v>0</v>
      </c>
    </row>
    <row r="20" spans="1:8" x14ac:dyDescent="0.2">
      <c r="A20" t="s">
        <v>77</v>
      </c>
      <c r="B20" s="1">
        <v>46188</v>
      </c>
      <c r="C20" t="s">
        <v>60</v>
      </c>
      <c r="D20" t="s">
        <v>79</v>
      </c>
      <c r="E20" s="4"/>
      <c r="F20" s="6">
        <v>0.86</v>
      </c>
      <c r="G20" s="5"/>
      <c r="H20" s="5">
        <f>IF(AND(D20="Active",OR(G20=0,G20="")),E20*F20*Inbound!$B$4,0)</f>
        <v>0</v>
      </c>
    </row>
    <row r="21" spans="1:8" x14ac:dyDescent="0.2">
      <c r="A21" t="s">
        <v>78</v>
      </c>
      <c r="B21" s="1">
        <v>46176</v>
      </c>
      <c r="C21" t="s">
        <v>61</v>
      </c>
      <c r="D21" t="s">
        <v>80</v>
      </c>
      <c r="E21" s="4">
        <v>832</v>
      </c>
      <c r="F21" s="6">
        <v>0.87</v>
      </c>
      <c r="G21" s="5">
        <v>462</v>
      </c>
      <c r="H21" s="5">
        <f>IF(AND(D21="Active",OR(G21=0,G21="")),E21*F21*Inbound!$B$4,0)</f>
        <v>0</v>
      </c>
    </row>
    <row r="22" spans="1:8" x14ac:dyDescent="0.2">
      <c r="A22" t="s">
        <v>81</v>
      </c>
      <c r="B22" s="1">
        <v>46176</v>
      </c>
      <c r="C22" t="s">
        <v>61</v>
      </c>
      <c r="D22" t="s">
        <v>80</v>
      </c>
      <c r="E22" s="4">
        <v>685</v>
      </c>
      <c r="F22" s="6">
        <v>0.87</v>
      </c>
      <c r="G22" s="5">
        <v>205</v>
      </c>
      <c r="H22" s="5">
        <f>IF(AND(D22="Active",OR(G22=0,G22="")),E22*F22*Inbound!$B$4,0)</f>
        <v>0</v>
      </c>
    </row>
    <row r="23" spans="1:8" x14ac:dyDescent="0.2">
      <c r="A23" t="s">
        <v>82</v>
      </c>
      <c r="B23" s="1">
        <v>46176</v>
      </c>
      <c r="C23" t="s">
        <v>61</v>
      </c>
      <c r="D23" t="s">
        <v>80</v>
      </c>
      <c r="E23" s="4">
        <v>780</v>
      </c>
      <c r="F23" s="6">
        <v>0.87</v>
      </c>
      <c r="G23" s="5">
        <v>430</v>
      </c>
      <c r="H23" s="5">
        <f>IF(AND(D23="Active",OR(G23=0,G23="")),E23*F23*Inbound!$B$4,0)</f>
        <v>0</v>
      </c>
    </row>
    <row r="24" spans="1:8" x14ac:dyDescent="0.2">
      <c r="A24" t="s">
        <v>83</v>
      </c>
      <c r="B24" s="1">
        <v>46176</v>
      </c>
      <c r="C24" t="s">
        <v>61</v>
      </c>
      <c r="D24" t="s">
        <v>79</v>
      </c>
      <c r="E24" s="4"/>
      <c r="F24" s="6">
        <v>0.87</v>
      </c>
      <c r="G24" s="5"/>
      <c r="H24" s="5">
        <f>IF(AND(D24="Active",OR(G24=0,G24="")),E24*F24*Inbound!$B$4,0)</f>
        <v>0</v>
      </c>
    </row>
    <row r="25" spans="1:8" x14ac:dyDescent="0.2">
      <c r="A25" t="s">
        <v>85</v>
      </c>
      <c r="B25" s="1">
        <v>46169</v>
      </c>
      <c r="C25" t="s">
        <v>62</v>
      </c>
      <c r="D25" t="s">
        <v>80</v>
      </c>
      <c r="E25" s="4">
        <v>901</v>
      </c>
      <c r="F25" s="6">
        <v>1</v>
      </c>
      <c r="G25" s="5">
        <v>698</v>
      </c>
      <c r="H25" s="5">
        <f>IF(AND(D25="Active",OR(G25=0,G25="")),E25*F25*Inbound!$B$4,0)</f>
        <v>0</v>
      </c>
    </row>
    <row r="26" spans="1:8" x14ac:dyDescent="0.2">
      <c r="A26" t="s">
        <v>86</v>
      </c>
      <c r="B26" s="1">
        <v>46163</v>
      </c>
      <c r="C26" t="s">
        <v>61</v>
      </c>
      <c r="D26" t="s">
        <v>79</v>
      </c>
      <c r="E26" s="4"/>
      <c r="F26" s="6">
        <v>0.87</v>
      </c>
      <c r="G26" s="5"/>
      <c r="H26" s="5">
        <f>IF(AND(D26="Active",OR(G26=0,G26="")),E26*F26*Inbound!$B$4,0)</f>
        <v>0</v>
      </c>
    </row>
    <row r="27" spans="1:8" x14ac:dyDescent="0.2">
      <c r="A27" t="s">
        <v>87</v>
      </c>
      <c r="B27" s="1">
        <v>46178</v>
      </c>
      <c r="C27" t="s">
        <v>88</v>
      </c>
      <c r="D27" t="s">
        <v>80</v>
      </c>
      <c r="E27" s="4">
        <v>3387</v>
      </c>
      <c r="F27" s="6">
        <v>0.5</v>
      </c>
      <c r="G27" s="5"/>
      <c r="H27" s="5">
        <f>IF(AND(D27="Active",OR(G27=0,G27="")),E27*F27*Inbound!$B$4,0)</f>
        <v>1270.125</v>
      </c>
    </row>
    <row r="28" spans="1:8" x14ac:dyDescent="0.2">
      <c r="A28" t="s">
        <v>89</v>
      </c>
      <c r="B28" s="1">
        <v>46174</v>
      </c>
      <c r="C28" t="s">
        <v>62</v>
      </c>
      <c r="D28" t="s">
        <v>80</v>
      </c>
      <c r="E28" s="4">
        <v>675</v>
      </c>
      <c r="F28" s="6"/>
      <c r="G28" s="5"/>
      <c r="H28" s="5">
        <f>IF(AND(D28="Active",OR(G28=0,G28="")),E28*F28*Inbound!$B$4,0)</f>
        <v>0</v>
      </c>
    </row>
    <row r="29" spans="1:8" x14ac:dyDescent="0.2">
      <c r="A29" t="s">
        <v>90</v>
      </c>
      <c r="B29" s="1">
        <v>46190</v>
      </c>
      <c r="C29" t="s">
        <v>61</v>
      </c>
      <c r="D29" t="s">
        <v>80</v>
      </c>
      <c r="E29" s="4">
        <v>952</v>
      </c>
      <c r="F29" s="6">
        <v>0.87</v>
      </c>
      <c r="G29" s="5"/>
      <c r="H29" s="5">
        <f>IF(AND(D29="Active",OR(G29=0,G29="")),E29*F29*Inbound!$B$4,0)</f>
        <v>621.18000000000006</v>
      </c>
    </row>
    <row r="30" spans="1:8" x14ac:dyDescent="0.2">
      <c r="A30" t="s">
        <v>91</v>
      </c>
      <c r="B30" s="1">
        <v>46204</v>
      </c>
      <c r="C30" t="s">
        <v>67</v>
      </c>
      <c r="D30" t="s">
        <v>80</v>
      </c>
      <c r="E30" s="4">
        <v>371</v>
      </c>
      <c r="F30" s="6">
        <v>0.6</v>
      </c>
      <c r="G30" s="5"/>
      <c r="H30" s="5">
        <f>IF(AND(D30="Active",OR(G30=0,G30="")),E30*F30*Inbound!$B$4,0)</f>
        <v>166.95</v>
      </c>
    </row>
    <row r="31" spans="1:8" x14ac:dyDescent="0.2">
      <c r="A31" t="s">
        <v>92</v>
      </c>
      <c r="B31" s="1">
        <v>46188</v>
      </c>
      <c r="C31" t="s">
        <v>62</v>
      </c>
      <c r="D31" t="s">
        <v>80</v>
      </c>
      <c r="E31" s="4">
        <v>866</v>
      </c>
      <c r="F31" s="6">
        <v>1</v>
      </c>
      <c r="G31" s="5"/>
      <c r="H31" s="5">
        <f>IF(AND(D31="Active",OR(G31=0,G31="")),E31*F31*Inbound!$B$4,0)</f>
        <v>649.5</v>
      </c>
    </row>
    <row r="32" spans="1:8" x14ac:dyDescent="0.2">
      <c r="A32" t="s">
        <v>93</v>
      </c>
      <c r="B32" s="1">
        <v>46188</v>
      </c>
      <c r="C32" t="s">
        <v>67</v>
      </c>
      <c r="D32" t="s">
        <v>80</v>
      </c>
      <c r="E32" s="4">
        <v>949</v>
      </c>
      <c r="F32" s="6">
        <v>0.6</v>
      </c>
      <c r="G32" s="5"/>
      <c r="H32" s="5">
        <f>IF(AND(D32="Active",OR(G32=0,G32="")),E32*F32*Inbound!$B$4,0)</f>
        <v>427.04999999999995</v>
      </c>
    </row>
    <row r="33" spans="1:8" x14ac:dyDescent="0.2">
      <c r="A33" t="s">
        <v>94</v>
      </c>
      <c r="B33" s="1">
        <v>46183</v>
      </c>
      <c r="C33" t="s">
        <v>62</v>
      </c>
      <c r="D33" t="s">
        <v>80</v>
      </c>
      <c r="E33" s="4">
        <v>650</v>
      </c>
      <c r="F33" s="6">
        <v>1</v>
      </c>
      <c r="G33" s="5">
        <v>488</v>
      </c>
      <c r="H33" s="5">
        <f>IF(AND(D33="Active",OR(G33=0,G33="")),E33*F33*Inbound!$B$4,0)</f>
        <v>0</v>
      </c>
    </row>
    <row r="34" spans="1:8" x14ac:dyDescent="0.2">
      <c r="A34" t="s">
        <v>95</v>
      </c>
      <c r="B34" s="1">
        <v>46206</v>
      </c>
      <c r="C34" t="s">
        <v>67</v>
      </c>
      <c r="D34" t="s">
        <v>80</v>
      </c>
      <c r="E34" s="4">
        <v>537</v>
      </c>
      <c r="F34" s="6">
        <v>0.6</v>
      </c>
      <c r="G34" s="5"/>
      <c r="H34" s="5">
        <f>IF(AND(D34="Active",OR(G34=0,G34="")),E34*F34*Inbound!$B$4,0)</f>
        <v>241.64999999999998</v>
      </c>
    </row>
    <row r="35" spans="1:8" x14ac:dyDescent="0.2">
      <c r="A35" t="s">
        <v>96</v>
      </c>
      <c r="B35" s="1">
        <v>46191</v>
      </c>
      <c r="C35" t="s">
        <v>67</v>
      </c>
      <c r="D35" t="s">
        <v>80</v>
      </c>
      <c r="E35" s="4">
        <v>527</v>
      </c>
      <c r="F35" s="6">
        <v>0.6</v>
      </c>
      <c r="G35" s="5"/>
      <c r="H35" s="5">
        <f>IF(AND(D35="Active",OR(G35=0,G35="")),E35*F35*Inbound!$B$4,0)</f>
        <v>237.14999999999998</v>
      </c>
    </row>
    <row r="36" spans="1:8" x14ac:dyDescent="0.2">
      <c r="A36" t="s">
        <v>97</v>
      </c>
      <c r="B36" s="1">
        <v>46207</v>
      </c>
      <c r="C36" t="s">
        <v>73</v>
      </c>
      <c r="D36" t="s">
        <v>80</v>
      </c>
      <c r="E36" s="4">
        <v>905</v>
      </c>
      <c r="F36" s="6">
        <v>0.95</v>
      </c>
      <c r="G36" s="5"/>
      <c r="H36" s="5">
        <f>IF(AND(D36="Active",OR(G36=0,G36="")),E36*F36*Inbound!$B$4,0)</f>
        <v>644.8125</v>
      </c>
    </row>
    <row r="37" spans="1:8" x14ac:dyDescent="0.2">
      <c r="A37" t="s">
        <v>98</v>
      </c>
      <c r="B37" s="1">
        <v>46204</v>
      </c>
      <c r="C37" t="s">
        <v>61</v>
      </c>
      <c r="D37" t="s">
        <v>80</v>
      </c>
      <c r="E37" s="4">
        <v>827</v>
      </c>
      <c r="F37" s="6">
        <v>0.87</v>
      </c>
      <c r="G37" s="5"/>
      <c r="H37" s="5">
        <f>IF(AND(D37="Active",OR(G37=0,G37="")),E37*F37*Inbound!$B$4,0)</f>
        <v>539.61750000000006</v>
      </c>
    </row>
    <row r="38" spans="1:8" x14ac:dyDescent="0.2">
      <c r="A38" t="s">
        <v>99</v>
      </c>
      <c r="B38" s="1">
        <v>46204</v>
      </c>
      <c r="C38" t="s">
        <v>60</v>
      </c>
      <c r="D38" t="s">
        <v>80</v>
      </c>
      <c r="E38" s="4">
        <v>1124</v>
      </c>
      <c r="F38" s="6">
        <v>0.86</v>
      </c>
      <c r="G38" s="5"/>
      <c r="H38" s="5">
        <f>IF(AND(D38="Active",OR(G38=0,G38="")),E38*F38*Inbound!$B$4,0)</f>
        <v>724.98</v>
      </c>
    </row>
    <row r="39" spans="1:8" x14ac:dyDescent="0.2">
      <c r="A39" t="s">
        <v>100</v>
      </c>
      <c r="B39" s="1">
        <v>46204</v>
      </c>
      <c r="C39" t="s">
        <v>62</v>
      </c>
      <c r="D39" t="s">
        <v>80</v>
      </c>
      <c r="E39" s="4">
        <v>415</v>
      </c>
      <c r="F39" s="6">
        <v>1</v>
      </c>
      <c r="G39" s="5"/>
      <c r="H39" s="5">
        <f>IF(AND(D39="Active",OR(G39=0,G39="")),E39*F39*Inbound!$B$4,0)</f>
        <v>311.25</v>
      </c>
    </row>
    <row r="40" spans="1:8" x14ac:dyDescent="0.2">
      <c r="A40" t="s">
        <v>101</v>
      </c>
      <c r="B40" s="1">
        <v>46198</v>
      </c>
      <c r="C40" t="s">
        <v>61</v>
      </c>
      <c r="D40" t="s">
        <v>80</v>
      </c>
      <c r="E40" s="4">
        <v>1235</v>
      </c>
      <c r="F40" s="6">
        <v>0.87</v>
      </c>
      <c r="G40" s="5"/>
      <c r="H40" s="5">
        <f>IF(AND(D40="Active",OR(G40=0,G40="")),E40*F40*Inbound!$B$4,0)</f>
        <v>805.83750000000009</v>
      </c>
    </row>
    <row r="41" spans="1:8" x14ac:dyDescent="0.2">
      <c r="A41" t="s">
        <v>102</v>
      </c>
      <c r="B41" s="1">
        <v>46181</v>
      </c>
      <c r="C41" t="s">
        <v>60</v>
      </c>
      <c r="D41" t="s">
        <v>79</v>
      </c>
      <c r="E41" s="4"/>
      <c r="F41" s="6">
        <v>0.6</v>
      </c>
      <c r="G41" s="5"/>
      <c r="H41" s="5">
        <f>IF(AND(D41="Active",OR(G41=0,G41="")),E41*F41*Inbound!$B$4,0)</f>
        <v>0</v>
      </c>
    </row>
    <row r="42" spans="1:8" x14ac:dyDescent="0.2">
      <c r="A42" t="s">
        <v>103</v>
      </c>
      <c r="B42" s="1">
        <v>46208</v>
      </c>
      <c r="C42" t="s">
        <v>61</v>
      </c>
      <c r="D42" t="s">
        <v>80</v>
      </c>
      <c r="E42" s="4">
        <v>705</v>
      </c>
      <c r="F42" s="6">
        <v>0.87</v>
      </c>
      <c r="G42" s="5"/>
      <c r="H42" s="5">
        <f>IF(AND(D42="Active",OR(G42=0,G42="")),E42*F42*Inbound!$B$4,0)</f>
        <v>460.01250000000005</v>
      </c>
    </row>
    <row r="43" spans="1:8" x14ac:dyDescent="0.2">
      <c r="A43" t="s">
        <v>104</v>
      </c>
      <c r="B43" s="1">
        <v>46206</v>
      </c>
      <c r="C43" t="s">
        <v>60</v>
      </c>
      <c r="D43" t="s">
        <v>80</v>
      </c>
      <c r="E43" s="4">
        <v>724</v>
      </c>
      <c r="F43" s="6">
        <v>0.6</v>
      </c>
      <c r="G43" s="5"/>
      <c r="H43" s="5">
        <f>IF(AND(D43="Active",OR(G43=0,G43="")),E43*F43*Inbound!$B$4,0)</f>
        <v>325.79999999999995</v>
      </c>
    </row>
    <row r="44" spans="1:8" x14ac:dyDescent="0.2">
      <c r="A44" t="s">
        <v>105</v>
      </c>
      <c r="B44" s="1">
        <v>46191</v>
      </c>
      <c r="C44" t="s">
        <v>67</v>
      </c>
      <c r="D44" t="s">
        <v>80</v>
      </c>
      <c r="E44" s="4">
        <v>1344</v>
      </c>
      <c r="F44" s="6">
        <v>0.5</v>
      </c>
      <c r="G44" s="5"/>
      <c r="H44" s="5">
        <f>IF(AND(D44="Active",OR(G44=0,G44="")),E44*F44*Inbound!$B$4,0)</f>
        <v>504</v>
      </c>
    </row>
  </sheetData>
  <conditionalFormatting sqref="A2:H1000">
    <cfRule type="expression" dxfId="0" priority="1">
      <formula>$D2="Cancel"</formula>
    </cfRule>
  </conditionalFormatting>
  <dataValidations count="3">
    <dataValidation type="date" allowBlank="1" showInputMessage="1" showErrorMessage="1" errorTitle="Not a valid date" error="Please enter a real date, e.g. 6/14/2026." promptTitle="Enter a date" prompt="Type a date (e.g. 6/14/2026 or 14-Jun-2026) and press Enter." sqref="B2:B1000" xr:uid="{713E3BAD-EFCD-C940-AD96-161515761053}">
      <formula1>36526</formula1>
      <formula2>73415</formula2>
    </dataValidation>
    <dataValidation type="list" allowBlank="1" showInputMessage="1" showErrorMessage="1" errorTitle="Carrier not in list" error="Choose an existing carrier, or add the new one on the Lists tab first." promptTitle="Select a carrier" prompt="Pick from the list. To add a new carrier, type it on the Lists tab." sqref="C2:C1000" xr:uid="{D789D3AC-236B-1549-B002-23BD5D504CE6}">
      <formula1>CarrierList</formula1>
    </dataValidation>
    <dataValidation type="list" allowBlank="1" showInputMessage="1" showErrorMessage="1" sqref="D2:D1000" xr:uid="{4015417D-8024-1047-A3E0-8F147DC24761}">
      <formula1>StatusList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3A03-7042-9C49-8D2D-5525CD046D9E}">
  <dimension ref="A1:C28"/>
  <sheetViews>
    <sheetView workbookViewId="0">
      <selection activeCell="C29" sqref="C29"/>
    </sheetView>
  </sheetViews>
  <sheetFormatPr baseColWidth="10" defaultRowHeight="16" x14ac:dyDescent="0.2"/>
  <cols>
    <col min="1" max="1" width="25" customWidth="1"/>
    <col min="2" max="2" width="16.6640625" customWidth="1"/>
    <col min="3" max="3" width="15" customWidth="1"/>
  </cols>
  <sheetData>
    <row r="1" spans="1:3" x14ac:dyDescent="0.2">
      <c r="A1" t="s">
        <v>108</v>
      </c>
      <c r="B1" t="s">
        <v>109</v>
      </c>
      <c r="C1" t="s">
        <v>141</v>
      </c>
    </row>
    <row r="2" spans="1:3" x14ac:dyDescent="0.2">
      <c r="A2" t="s">
        <v>5</v>
      </c>
      <c r="B2" t="s">
        <v>111</v>
      </c>
      <c r="C2" s="4">
        <v>1153</v>
      </c>
    </row>
    <row r="3" spans="1:3" x14ac:dyDescent="0.2">
      <c r="A3" t="s">
        <v>6</v>
      </c>
      <c r="B3" t="s">
        <v>111</v>
      </c>
      <c r="C3" s="4">
        <v>1115</v>
      </c>
    </row>
    <row r="4" spans="1:3" x14ac:dyDescent="0.2">
      <c r="A4" t="s">
        <v>7</v>
      </c>
      <c r="B4" t="s">
        <v>111</v>
      </c>
      <c r="C4" s="4">
        <v>500</v>
      </c>
    </row>
    <row r="5" spans="1:3" x14ac:dyDescent="0.2">
      <c r="A5" t="s">
        <v>8</v>
      </c>
      <c r="B5" t="s">
        <v>111</v>
      </c>
      <c r="C5" s="4">
        <v>753</v>
      </c>
    </row>
    <row r="6" spans="1:3" x14ac:dyDescent="0.2">
      <c r="A6" t="s">
        <v>12</v>
      </c>
      <c r="B6" t="s">
        <v>111</v>
      </c>
      <c r="C6" s="4">
        <v>338</v>
      </c>
    </row>
    <row r="7" spans="1:3" x14ac:dyDescent="0.2">
      <c r="A7" t="s">
        <v>13</v>
      </c>
      <c r="B7" t="s">
        <v>111</v>
      </c>
      <c r="C7" s="4">
        <v>611</v>
      </c>
    </row>
    <row r="8" spans="1:3" x14ac:dyDescent="0.2">
      <c r="A8" t="s">
        <v>21</v>
      </c>
      <c r="B8" t="s">
        <v>111</v>
      </c>
      <c r="C8" s="4">
        <v>839</v>
      </c>
    </row>
    <row r="9" spans="1:3" x14ac:dyDescent="0.2">
      <c r="A9" t="s">
        <v>22</v>
      </c>
      <c r="B9" t="s">
        <v>111</v>
      </c>
      <c r="C9" s="4">
        <v>326</v>
      </c>
    </row>
    <row r="10" spans="1:3" x14ac:dyDescent="0.2">
      <c r="A10" t="s">
        <v>9</v>
      </c>
      <c r="B10" t="s">
        <v>111</v>
      </c>
      <c r="C10" s="4">
        <v>3000</v>
      </c>
    </row>
    <row r="11" spans="1:3" x14ac:dyDescent="0.2">
      <c r="A11" t="s">
        <v>20</v>
      </c>
      <c r="B11" t="s">
        <v>111</v>
      </c>
      <c r="C11" s="4">
        <v>561</v>
      </c>
    </row>
    <row r="12" spans="1:3" x14ac:dyDescent="0.2">
      <c r="A12" t="s">
        <v>23</v>
      </c>
      <c r="B12" t="s">
        <v>111</v>
      </c>
      <c r="C12" s="4">
        <v>873</v>
      </c>
    </row>
    <row r="13" spans="1:3" x14ac:dyDescent="0.2">
      <c r="A13" t="s">
        <v>32</v>
      </c>
      <c r="B13" t="s">
        <v>111</v>
      </c>
      <c r="C13" s="4">
        <v>432</v>
      </c>
    </row>
    <row r="14" spans="1:3" x14ac:dyDescent="0.2">
      <c r="A14" t="s">
        <v>16</v>
      </c>
      <c r="B14" t="s">
        <v>111</v>
      </c>
      <c r="C14" s="4">
        <v>1782</v>
      </c>
    </row>
    <row r="15" spans="1:3" x14ac:dyDescent="0.2">
      <c r="A15" t="s">
        <v>14</v>
      </c>
      <c r="B15" t="s">
        <v>111</v>
      </c>
      <c r="C15" s="4">
        <v>789</v>
      </c>
    </row>
    <row r="16" spans="1:3" x14ac:dyDescent="0.2">
      <c r="A16" t="s">
        <v>15</v>
      </c>
      <c r="B16" t="s">
        <v>111</v>
      </c>
      <c r="C16" s="4">
        <v>1952</v>
      </c>
    </row>
    <row r="17" spans="1:3" x14ac:dyDescent="0.2">
      <c r="A17" t="s">
        <v>17</v>
      </c>
      <c r="B17" t="s">
        <v>111</v>
      </c>
      <c r="C17" s="4">
        <v>502</v>
      </c>
    </row>
    <row r="18" spans="1:3" x14ac:dyDescent="0.2">
      <c r="A18" t="s">
        <v>11</v>
      </c>
      <c r="B18" t="s">
        <v>111</v>
      </c>
      <c r="C18" s="4">
        <v>525</v>
      </c>
    </row>
    <row r="19" spans="1:3" x14ac:dyDescent="0.2">
      <c r="A19" t="s">
        <v>31</v>
      </c>
      <c r="B19" t="s">
        <v>111</v>
      </c>
      <c r="C19" s="4">
        <v>373</v>
      </c>
    </row>
    <row r="20" spans="1:3" x14ac:dyDescent="0.2">
      <c r="A20" t="s">
        <v>10</v>
      </c>
      <c r="B20" t="s">
        <v>111</v>
      </c>
      <c r="C20" s="4">
        <v>1207</v>
      </c>
    </row>
    <row r="21" spans="1:3" x14ac:dyDescent="0.2">
      <c r="A21" t="s">
        <v>18</v>
      </c>
      <c r="B21" t="s">
        <v>111</v>
      </c>
      <c r="C21" s="4">
        <v>2000</v>
      </c>
    </row>
    <row r="22" spans="1:3" x14ac:dyDescent="0.2">
      <c r="A22" t="s">
        <v>43</v>
      </c>
      <c r="B22" t="s">
        <v>111</v>
      </c>
      <c r="C22" s="4">
        <v>282</v>
      </c>
    </row>
    <row r="23" spans="1:3" x14ac:dyDescent="0.2">
      <c r="A23" t="s">
        <v>47</v>
      </c>
      <c r="B23" t="s">
        <v>112</v>
      </c>
      <c r="C23" s="4">
        <v>502</v>
      </c>
    </row>
    <row r="24" spans="1:3" x14ac:dyDescent="0.2">
      <c r="A24" t="s">
        <v>45</v>
      </c>
      <c r="B24" t="s">
        <v>112</v>
      </c>
      <c r="C24" s="4">
        <v>611</v>
      </c>
    </row>
    <row r="25" spans="1:3" x14ac:dyDescent="0.2">
      <c r="A25" t="s">
        <v>44</v>
      </c>
      <c r="B25" t="s">
        <v>112</v>
      </c>
      <c r="C25" s="4">
        <v>639</v>
      </c>
    </row>
    <row r="26" spans="1:3" x14ac:dyDescent="0.2">
      <c r="A26" t="s">
        <v>19</v>
      </c>
      <c r="B26" t="s">
        <v>112</v>
      </c>
      <c r="C26" s="4">
        <v>311</v>
      </c>
    </row>
    <row r="27" spans="1:3" x14ac:dyDescent="0.2">
      <c r="A27" t="s">
        <v>46</v>
      </c>
      <c r="B27" t="s">
        <v>112</v>
      </c>
      <c r="C27" s="4">
        <v>304</v>
      </c>
    </row>
    <row r="28" spans="1:3" x14ac:dyDescent="0.2">
      <c r="A28" t="s">
        <v>4</v>
      </c>
      <c r="B28" t="s">
        <v>156</v>
      </c>
      <c r="C28" s="4">
        <v>529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44F4-13AF-DD4A-8187-F7ED0FCB12D3}">
  <dimension ref="A1:E100"/>
  <sheetViews>
    <sheetView tabSelected="1" workbookViewId="0"/>
  </sheetViews>
  <sheetFormatPr baseColWidth="10" defaultRowHeight="16" x14ac:dyDescent="0.2"/>
  <cols>
    <col min="1" max="1" width="25" customWidth="1"/>
    <col min="2" max="2" width="15.83203125" customWidth="1"/>
    <col min="3" max="3" width="3.33203125" customWidth="1"/>
    <col min="4" max="4" width="25" customWidth="1"/>
    <col min="5" max="5" width="15.83203125" customWidth="1"/>
  </cols>
  <sheetData>
    <row r="1" spans="1:5" ht="22" x14ac:dyDescent="0.3">
      <c r="A1" s="42" t="s">
        <v>184</v>
      </c>
    </row>
    <row r="2" spans="1:5" x14ac:dyDescent="0.2">
      <c r="A2" s="7" t="s">
        <v>185</v>
      </c>
    </row>
    <row r="4" spans="1:5" x14ac:dyDescent="0.2">
      <c r="A4" s="8" t="s">
        <v>186</v>
      </c>
      <c r="B4" s="43">
        <f>SUMIFS(tInboundClients[Paid],tInboundClients[Status],"Cancel")+SUMIFS(tAgedClients[Amount],tAgedClients[Status],"Charged Back")</f>
        <v>529</v>
      </c>
    </row>
    <row r="6" spans="1:5" x14ac:dyDescent="0.2">
      <c r="A6" s="40" t="s">
        <v>187</v>
      </c>
      <c r="B6" s="39"/>
      <c r="D6" s="40" t="s">
        <v>188</v>
      </c>
      <c r="E6" s="39"/>
    </row>
    <row r="7" spans="1:5" x14ac:dyDescent="0.2">
      <c r="A7" s="8" t="s">
        <v>108</v>
      </c>
      <c r="B7" s="10" t="s">
        <v>156</v>
      </c>
      <c r="D7" s="8" t="s">
        <v>108</v>
      </c>
      <c r="E7" s="10" t="s">
        <v>141</v>
      </c>
    </row>
    <row r="8" spans="1:5" x14ac:dyDescent="0.2">
      <c r="A8" t="str" cm="1">
        <f t="array" ref="A8">_xlfn._xlws.FILTER(_xlfn.HSTACK(tInboundClients[Client],tInboundClients[Paid]),(tInboundClients[Status]="Cancel")*(tInboundClients[Paid]&gt;0),"None yet")</f>
        <v>None yet</v>
      </c>
      <c r="B8" s="5"/>
      <c r="D8" t="str" cm="1">
        <f t="array" ref="D8:E8">_xlfn._xlws.FILTER(_xlfn.HSTACK(tAgedClients[Client],tAgedClients[Amount]),tAgedClients[Status]="Charged Back","None")</f>
        <v>Donna Isaac</v>
      </c>
      <c r="E8" s="5">
        <v>529</v>
      </c>
    </row>
    <row r="9" spans="1:5" x14ac:dyDescent="0.2">
      <c r="B9" s="5"/>
      <c r="E9" s="5"/>
    </row>
    <row r="10" spans="1:5" x14ac:dyDescent="0.2">
      <c r="B10" s="5"/>
      <c r="E10" s="5"/>
    </row>
    <row r="11" spans="1:5" x14ac:dyDescent="0.2">
      <c r="B11" s="5"/>
      <c r="E11" s="5"/>
    </row>
    <row r="12" spans="1:5" x14ac:dyDescent="0.2">
      <c r="B12" s="5"/>
      <c r="E12" s="5"/>
    </row>
    <row r="13" spans="1:5" x14ac:dyDescent="0.2">
      <c r="B13" s="5"/>
      <c r="E13" s="5"/>
    </row>
    <row r="14" spans="1:5" x14ac:dyDescent="0.2">
      <c r="B14" s="5"/>
      <c r="E14" s="5"/>
    </row>
    <row r="15" spans="1:5" x14ac:dyDescent="0.2">
      <c r="B15" s="5"/>
      <c r="E15" s="5"/>
    </row>
    <row r="16" spans="1:5" x14ac:dyDescent="0.2">
      <c r="B16" s="5"/>
      <c r="E16" s="5"/>
    </row>
    <row r="17" spans="2:5" x14ac:dyDescent="0.2">
      <c r="B17" s="5"/>
      <c r="E17" s="5"/>
    </row>
    <row r="18" spans="2:5" x14ac:dyDescent="0.2">
      <c r="B18" s="5"/>
      <c r="E18" s="5"/>
    </row>
    <row r="19" spans="2:5" x14ac:dyDescent="0.2">
      <c r="B19" s="5"/>
      <c r="E19" s="5"/>
    </row>
    <row r="20" spans="2:5" x14ac:dyDescent="0.2">
      <c r="B20" s="5"/>
      <c r="E20" s="5"/>
    </row>
    <row r="21" spans="2:5" x14ac:dyDescent="0.2">
      <c r="B21" s="5"/>
      <c r="E21" s="5"/>
    </row>
    <row r="22" spans="2:5" x14ac:dyDescent="0.2">
      <c r="B22" s="5"/>
      <c r="E22" s="5"/>
    </row>
    <row r="23" spans="2:5" x14ac:dyDescent="0.2">
      <c r="B23" s="5"/>
      <c r="E23" s="5"/>
    </row>
    <row r="24" spans="2:5" x14ac:dyDescent="0.2">
      <c r="B24" s="5"/>
      <c r="E24" s="5"/>
    </row>
    <row r="25" spans="2:5" x14ac:dyDescent="0.2">
      <c r="B25" s="5"/>
      <c r="E25" s="5"/>
    </row>
    <row r="26" spans="2:5" x14ac:dyDescent="0.2">
      <c r="B26" s="5"/>
      <c r="E26" s="5"/>
    </row>
    <row r="27" spans="2:5" x14ac:dyDescent="0.2">
      <c r="B27" s="5"/>
      <c r="E27" s="5"/>
    </row>
    <row r="28" spans="2:5" x14ac:dyDescent="0.2">
      <c r="B28" s="5"/>
      <c r="E28" s="5"/>
    </row>
    <row r="29" spans="2:5" x14ac:dyDescent="0.2">
      <c r="B29" s="5"/>
      <c r="E29" s="5"/>
    </row>
    <row r="30" spans="2:5" x14ac:dyDescent="0.2">
      <c r="B30" s="5"/>
      <c r="E30" s="5"/>
    </row>
    <row r="31" spans="2:5" x14ac:dyDescent="0.2">
      <c r="B31" s="5"/>
      <c r="E31" s="5"/>
    </row>
    <row r="32" spans="2:5" x14ac:dyDescent="0.2">
      <c r="B32" s="5"/>
      <c r="E32" s="5"/>
    </row>
    <row r="33" spans="2:5" x14ac:dyDescent="0.2">
      <c r="B33" s="5"/>
      <c r="E33" s="5"/>
    </row>
    <row r="34" spans="2:5" x14ac:dyDescent="0.2">
      <c r="B34" s="5"/>
      <c r="E34" s="5"/>
    </row>
    <row r="35" spans="2:5" x14ac:dyDescent="0.2">
      <c r="B35" s="5"/>
      <c r="E35" s="5"/>
    </row>
    <row r="36" spans="2:5" x14ac:dyDescent="0.2">
      <c r="B36" s="5"/>
      <c r="E36" s="5"/>
    </row>
    <row r="37" spans="2:5" x14ac:dyDescent="0.2">
      <c r="B37" s="5"/>
      <c r="E37" s="5"/>
    </row>
    <row r="38" spans="2:5" x14ac:dyDescent="0.2">
      <c r="B38" s="5"/>
      <c r="E38" s="5"/>
    </row>
    <row r="39" spans="2:5" x14ac:dyDescent="0.2">
      <c r="B39" s="5"/>
      <c r="E39" s="5"/>
    </row>
    <row r="40" spans="2:5" x14ac:dyDescent="0.2">
      <c r="B40" s="5"/>
      <c r="E40" s="5"/>
    </row>
    <row r="41" spans="2:5" x14ac:dyDescent="0.2">
      <c r="B41" s="5"/>
      <c r="E41" s="5"/>
    </row>
    <row r="42" spans="2:5" x14ac:dyDescent="0.2">
      <c r="B42" s="5"/>
      <c r="E42" s="5"/>
    </row>
    <row r="43" spans="2:5" x14ac:dyDescent="0.2">
      <c r="B43" s="5"/>
      <c r="E43" s="5"/>
    </row>
    <row r="44" spans="2:5" x14ac:dyDescent="0.2">
      <c r="B44" s="5"/>
      <c r="E44" s="5"/>
    </row>
    <row r="45" spans="2:5" x14ac:dyDescent="0.2">
      <c r="B45" s="5"/>
      <c r="E45" s="5"/>
    </row>
    <row r="46" spans="2:5" x14ac:dyDescent="0.2">
      <c r="B46" s="5"/>
      <c r="E46" s="5"/>
    </row>
    <row r="47" spans="2:5" x14ac:dyDescent="0.2">
      <c r="B47" s="5"/>
      <c r="E47" s="5"/>
    </row>
    <row r="48" spans="2:5" x14ac:dyDescent="0.2">
      <c r="B48" s="5"/>
      <c r="E48" s="5"/>
    </row>
    <row r="49" spans="2:5" x14ac:dyDescent="0.2">
      <c r="B49" s="5"/>
      <c r="E49" s="5"/>
    </row>
    <row r="50" spans="2:5" x14ac:dyDescent="0.2">
      <c r="B50" s="5"/>
      <c r="E50" s="5"/>
    </row>
    <row r="51" spans="2:5" x14ac:dyDescent="0.2">
      <c r="B51" s="5"/>
      <c r="E51" s="5"/>
    </row>
    <row r="52" spans="2:5" x14ac:dyDescent="0.2">
      <c r="B52" s="5"/>
      <c r="E52" s="5"/>
    </row>
    <row r="53" spans="2:5" x14ac:dyDescent="0.2">
      <c r="B53" s="5"/>
      <c r="E53" s="5"/>
    </row>
    <row r="54" spans="2:5" x14ac:dyDescent="0.2">
      <c r="B54" s="5"/>
      <c r="E54" s="5"/>
    </row>
    <row r="55" spans="2:5" x14ac:dyDescent="0.2">
      <c r="B55" s="5"/>
      <c r="E55" s="5"/>
    </row>
    <row r="56" spans="2:5" x14ac:dyDescent="0.2">
      <c r="B56" s="5"/>
      <c r="E56" s="5"/>
    </row>
    <row r="57" spans="2:5" x14ac:dyDescent="0.2">
      <c r="B57" s="5"/>
      <c r="E57" s="5"/>
    </row>
    <row r="58" spans="2:5" x14ac:dyDescent="0.2">
      <c r="B58" s="5"/>
      <c r="E58" s="5"/>
    </row>
    <row r="59" spans="2:5" x14ac:dyDescent="0.2">
      <c r="B59" s="5"/>
      <c r="E59" s="5"/>
    </row>
    <row r="60" spans="2:5" x14ac:dyDescent="0.2">
      <c r="B60" s="5"/>
      <c r="E60" s="5"/>
    </row>
    <row r="61" spans="2:5" x14ac:dyDescent="0.2">
      <c r="B61" s="5"/>
      <c r="E61" s="5"/>
    </row>
    <row r="62" spans="2:5" x14ac:dyDescent="0.2">
      <c r="B62" s="5"/>
      <c r="E62" s="5"/>
    </row>
    <row r="63" spans="2:5" x14ac:dyDescent="0.2">
      <c r="B63" s="5"/>
      <c r="E63" s="5"/>
    </row>
    <row r="64" spans="2:5" x14ac:dyDescent="0.2">
      <c r="B64" s="5"/>
      <c r="E64" s="5"/>
    </row>
    <row r="65" spans="2:5" x14ac:dyDescent="0.2">
      <c r="B65" s="5"/>
      <c r="E65" s="5"/>
    </row>
    <row r="66" spans="2:5" x14ac:dyDescent="0.2">
      <c r="B66" s="5"/>
      <c r="E66" s="5"/>
    </row>
    <row r="67" spans="2:5" x14ac:dyDescent="0.2">
      <c r="B67" s="5"/>
      <c r="E67" s="5"/>
    </row>
    <row r="68" spans="2:5" x14ac:dyDescent="0.2">
      <c r="B68" s="5"/>
      <c r="E68" s="5"/>
    </row>
    <row r="69" spans="2:5" x14ac:dyDescent="0.2">
      <c r="B69" s="5"/>
      <c r="E69" s="5"/>
    </row>
    <row r="70" spans="2:5" x14ac:dyDescent="0.2">
      <c r="B70" s="5"/>
      <c r="E70" s="5"/>
    </row>
    <row r="71" spans="2:5" x14ac:dyDescent="0.2">
      <c r="B71" s="5"/>
      <c r="E71" s="5"/>
    </row>
    <row r="72" spans="2:5" x14ac:dyDescent="0.2">
      <c r="B72" s="5"/>
      <c r="E72" s="5"/>
    </row>
    <row r="73" spans="2:5" x14ac:dyDescent="0.2">
      <c r="B73" s="5"/>
      <c r="E73" s="5"/>
    </row>
    <row r="74" spans="2:5" x14ac:dyDescent="0.2">
      <c r="B74" s="5"/>
      <c r="E74" s="5"/>
    </row>
    <row r="75" spans="2:5" x14ac:dyDescent="0.2">
      <c r="B75" s="5"/>
      <c r="E75" s="5"/>
    </row>
    <row r="76" spans="2:5" x14ac:dyDescent="0.2">
      <c r="B76" s="5"/>
      <c r="E76" s="5"/>
    </row>
    <row r="77" spans="2:5" x14ac:dyDescent="0.2">
      <c r="B77" s="5"/>
      <c r="E77" s="5"/>
    </row>
    <row r="78" spans="2:5" x14ac:dyDescent="0.2">
      <c r="B78" s="5"/>
      <c r="E78" s="5"/>
    </row>
    <row r="79" spans="2:5" x14ac:dyDescent="0.2">
      <c r="B79" s="5"/>
      <c r="E79" s="5"/>
    </row>
    <row r="80" spans="2:5" x14ac:dyDescent="0.2">
      <c r="B80" s="5"/>
      <c r="E80" s="5"/>
    </row>
    <row r="81" spans="2:5" x14ac:dyDescent="0.2">
      <c r="B81" s="5"/>
      <c r="E81" s="5"/>
    </row>
    <row r="82" spans="2:5" x14ac:dyDescent="0.2">
      <c r="B82" s="5"/>
      <c r="E82" s="5"/>
    </row>
    <row r="83" spans="2:5" x14ac:dyDescent="0.2">
      <c r="B83" s="5"/>
      <c r="E83" s="5"/>
    </row>
    <row r="84" spans="2:5" x14ac:dyDescent="0.2">
      <c r="B84" s="5"/>
      <c r="E84" s="5"/>
    </row>
    <row r="85" spans="2:5" x14ac:dyDescent="0.2">
      <c r="B85" s="5"/>
      <c r="E85" s="5"/>
    </row>
    <row r="86" spans="2:5" x14ac:dyDescent="0.2">
      <c r="B86" s="5"/>
      <c r="E86" s="5"/>
    </row>
    <row r="87" spans="2:5" x14ac:dyDescent="0.2">
      <c r="B87" s="5"/>
      <c r="E87" s="5"/>
    </row>
    <row r="88" spans="2:5" x14ac:dyDescent="0.2">
      <c r="B88" s="5"/>
      <c r="E88" s="5"/>
    </row>
    <row r="89" spans="2:5" x14ac:dyDescent="0.2">
      <c r="B89" s="5"/>
      <c r="E89" s="5"/>
    </row>
    <row r="90" spans="2:5" x14ac:dyDescent="0.2">
      <c r="B90" s="5"/>
      <c r="E90" s="5"/>
    </row>
    <row r="91" spans="2:5" x14ac:dyDescent="0.2">
      <c r="B91" s="5"/>
      <c r="E91" s="5"/>
    </row>
    <row r="92" spans="2:5" x14ac:dyDescent="0.2">
      <c r="B92" s="5"/>
      <c r="E92" s="5"/>
    </row>
    <row r="93" spans="2:5" x14ac:dyDescent="0.2">
      <c r="B93" s="5"/>
      <c r="E93" s="5"/>
    </row>
    <row r="94" spans="2:5" x14ac:dyDescent="0.2">
      <c r="B94" s="5"/>
      <c r="E94" s="5"/>
    </row>
    <row r="95" spans="2:5" x14ac:dyDescent="0.2">
      <c r="B95" s="5"/>
      <c r="E95" s="5"/>
    </row>
    <row r="96" spans="2:5" x14ac:dyDescent="0.2">
      <c r="B96" s="5"/>
      <c r="E96" s="5"/>
    </row>
    <row r="97" spans="2:5" x14ac:dyDescent="0.2">
      <c r="B97" s="5"/>
      <c r="E97" s="5"/>
    </row>
    <row r="98" spans="2:5" x14ac:dyDescent="0.2">
      <c r="B98" s="5"/>
      <c r="E98" s="5"/>
    </row>
    <row r="99" spans="2:5" x14ac:dyDescent="0.2">
      <c r="B99" s="5"/>
      <c r="E99" s="5"/>
    </row>
    <row r="100" spans="2:5" x14ac:dyDescent="0.2">
      <c r="B100" s="5"/>
      <c r="E10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12FD-EDBA-C447-88AC-173C7919BA60}">
  <dimension ref="A1:E32"/>
  <sheetViews>
    <sheetView workbookViewId="0">
      <selection activeCell="B36" sqref="B36"/>
    </sheetView>
  </sheetViews>
  <sheetFormatPr baseColWidth="10" defaultRowHeight="16" x14ac:dyDescent="0.2"/>
  <cols>
    <col min="1" max="1" width="16.6640625" customWidth="1"/>
    <col min="2" max="2" width="25" customWidth="1"/>
    <col min="3" max="5" width="13.33203125" customWidth="1"/>
  </cols>
  <sheetData>
    <row r="1" spans="1:5" x14ac:dyDescent="0.2">
      <c r="A1" s="40" t="s">
        <v>139</v>
      </c>
      <c r="B1" s="40" t="s">
        <v>140</v>
      </c>
      <c r="C1" s="40" t="s">
        <v>141</v>
      </c>
      <c r="D1" s="40" t="s">
        <v>142</v>
      </c>
      <c r="E1" s="40" t="s">
        <v>113</v>
      </c>
    </row>
    <row r="2" spans="1:5" x14ac:dyDescent="0.2">
      <c r="A2" t="s">
        <v>50</v>
      </c>
      <c r="B2" t="s">
        <v>143</v>
      </c>
      <c r="C2" s="4">
        <v>12063</v>
      </c>
      <c r="D2" s="2">
        <v>1</v>
      </c>
      <c r="E2" s="4">
        <f>C2*D2</f>
        <v>12063</v>
      </c>
    </row>
    <row r="3" spans="1:5" x14ac:dyDescent="0.2">
      <c r="A3" t="s">
        <v>144</v>
      </c>
      <c r="B3" t="s">
        <v>0</v>
      </c>
      <c r="C3" s="4">
        <v>500</v>
      </c>
      <c r="D3" s="2">
        <v>4</v>
      </c>
      <c r="E3" s="4">
        <f>C3*D3</f>
        <v>2000</v>
      </c>
    </row>
    <row r="4" spans="1:5" x14ac:dyDescent="0.2">
      <c r="A4" t="s">
        <v>144</v>
      </c>
      <c r="B4" t="s">
        <v>1</v>
      </c>
      <c r="C4" s="4">
        <v>100</v>
      </c>
      <c r="D4" s="2">
        <v>4</v>
      </c>
      <c r="E4" s="4">
        <f>C4*D4</f>
        <v>400</v>
      </c>
    </row>
    <row r="5" spans="1:5" x14ac:dyDescent="0.2">
      <c r="A5" t="s">
        <v>144</v>
      </c>
      <c r="B5" t="s">
        <v>2</v>
      </c>
      <c r="C5" s="4">
        <v>50</v>
      </c>
      <c r="D5" s="2">
        <v>4</v>
      </c>
      <c r="E5" s="4">
        <f>C5*D5</f>
        <v>200</v>
      </c>
    </row>
    <row r="6" spans="1:5" x14ac:dyDescent="0.2">
      <c r="A6" t="s">
        <v>144</v>
      </c>
      <c r="B6" t="s">
        <v>3</v>
      </c>
      <c r="C6" s="4">
        <v>50</v>
      </c>
      <c r="D6" s="2">
        <v>4</v>
      </c>
      <c r="E6" s="4">
        <f>C6*D6</f>
        <v>200</v>
      </c>
    </row>
    <row r="7" spans="1:5" x14ac:dyDescent="0.2">
      <c r="A7" t="s">
        <v>145</v>
      </c>
      <c r="B7" t="s">
        <v>33</v>
      </c>
      <c r="C7" s="4">
        <v>500</v>
      </c>
      <c r="D7" s="2">
        <v>1</v>
      </c>
      <c r="E7" s="4">
        <f>C7*D7</f>
        <v>500</v>
      </c>
    </row>
    <row r="8" spans="1:5" x14ac:dyDescent="0.2">
      <c r="A8" t="s">
        <v>146</v>
      </c>
      <c r="B8" t="s">
        <v>25</v>
      </c>
      <c r="C8" s="4">
        <v>1000</v>
      </c>
      <c r="D8" s="2">
        <v>1</v>
      </c>
      <c r="E8" s="4">
        <f>C8*D8</f>
        <v>1000</v>
      </c>
    </row>
    <row r="9" spans="1:5" x14ac:dyDescent="0.2">
      <c r="A9" t="s">
        <v>146</v>
      </c>
      <c r="B9" t="s">
        <v>24</v>
      </c>
      <c r="C9" s="4">
        <v>50</v>
      </c>
      <c r="D9" s="2">
        <v>1</v>
      </c>
      <c r="E9" s="4">
        <f>C9*D9</f>
        <v>50</v>
      </c>
    </row>
    <row r="10" spans="1:5" x14ac:dyDescent="0.2">
      <c r="A10" t="s">
        <v>146</v>
      </c>
      <c r="B10" t="s">
        <v>26</v>
      </c>
      <c r="C10" s="4">
        <v>10</v>
      </c>
      <c r="D10" s="2">
        <v>1</v>
      </c>
      <c r="E10" s="4">
        <f>C10*D10</f>
        <v>10</v>
      </c>
    </row>
    <row r="11" spans="1:5" x14ac:dyDescent="0.2">
      <c r="A11" t="s">
        <v>146</v>
      </c>
      <c r="B11" t="s">
        <v>27</v>
      </c>
      <c r="C11" s="4">
        <v>30</v>
      </c>
      <c r="D11" s="2">
        <v>1</v>
      </c>
      <c r="E11" s="4">
        <f>C11*D11</f>
        <v>30</v>
      </c>
    </row>
    <row r="12" spans="1:5" x14ac:dyDescent="0.2">
      <c r="A12" t="s">
        <v>146</v>
      </c>
      <c r="B12" t="s">
        <v>147</v>
      </c>
      <c r="C12" s="4">
        <v>25</v>
      </c>
      <c r="D12" s="2">
        <v>1</v>
      </c>
      <c r="E12" s="4">
        <f>C12*D12</f>
        <v>25</v>
      </c>
    </row>
    <row r="13" spans="1:5" x14ac:dyDescent="0.2">
      <c r="A13" t="s">
        <v>146</v>
      </c>
      <c r="B13" t="s">
        <v>28</v>
      </c>
      <c r="C13" s="4">
        <v>55</v>
      </c>
      <c r="D13" s="2">
        <v>1</v>
      </c>
      <c r="E13" s="4">
        <f>C13*D13</f>
        <v>55</v>
      </c>
    </row>
    <row r="14" spans="1:5" x14ac:dyDescent="0.2">
      <c r="A14" t="s">
        <v>146</v>
      </c>
      <c r="B14" t="s">
        <v>148</v>
      </c>
      <c r="C14" s="4">
        <v>15</v>
      </c>
      <c r="D14" s="2">
        <v>1</v>
      </c>
      <c r="E14" s="4">
        <f>C14*D14</f>
        <v>15</v>
      </c>
    </row>
    <row r="15" spans="1:5" x14ac:dyDescent="0.2">
      <c r="A15" t="s">
        <v>146</v>
      </c>
      <c r="B15" t="s">
        <v>149</v>
      </c>
      <c r="C15" s="4">
        <v>50</v>
      </c>
      <c r="D15" s="2">
        <v>1</v>
      </c>
      <c r="E15" s="4">
        <f>C15*D15</f>
        <v>50</v>
      </c>
    </row>
    <row r="16" spans="1:5" x14ac:dyDescent="0.2">
      <c r="A16" t="s">
        <v>146</v>
      </c>
      <c r="B16" t="s">
        <v>150</v>
      </c>
      <c r="C16" s="4">
        <v>30</v>
      </c>
      <c r="D16" s="2">
        <v>1</v>
      </c>
      <c r="E16" s="4">
        <f>C16*D16</f>
        <v>30</v>
      </c>
    </row>
    <row r="17" spans="1:5" x14ac:dyDescent="0.2">
      <c r="A17" t="s">
        <v>146</v>
      </c>
      <c r="B17" t="s">
        <v>151</v>
      </c>
      <c r="C17" s="4">
        <v>10</v>
      </c>
      <c r="D17" s="2">
        <v>1</v>
      </c>
      <c r="E17" s="4">
        <f>C17*D17</f>
        <v>10</v>
      </c>
    </row>
    <row r="18" spans="1:5" x14ac:dyDescent="0.2">
      <c r="A18" t="s">
        <v>146</v>
      </c>
      <c r="B18" t="s">
        <v>152</v>
      </c>
      <c r="C18" s="4">
        <v>145</v>
      </c>
      <c r="D18" s="2">
        <v>1</v>
      </c>
      <c r="E18" s="4">
        <f>C18*D18</f>
        <v>145</v>
      </c>
    </row>
    <row r="19" spans="1:5" x14ac:dyDescent="0.2">
      <c r="A19" t="s">
        <v>146</v>
      </c>
      <c r="B19" t="s">
        <v>153</v>
      </c>
      <c r="C19" s="4">
        <v>105</v>
      </c>
      <c r="D19" s="2">
        <v>1</v>
      </c>
      <c r="E19" s="4">
        <f>C19*D19</f>
        <v>105</v>
      </c>
    </row>
    <row r="20" spans="1:5" x14ac:dyDescent="0.2">
      <c r="A20" t="s">
        <v>146</v>
      </c>
      <c r="B20" t="s">
        <v>29</v>
      </c>
      <c r="C20" s="4">
        <v>215</v>
      </c>
      <c r="D20" s="2">
        <v>1</v>
      </c>
      <c r="E20" s="4">
        <f>C20*D20</f>
        <v>215</v>
      </c>
    </row>
    <row r="21" spans="1:5" x14ac:dyDescent="0.2">
      <c r="A21" t="s">
        <v>146</v>
      </c>
      <c r="B21" t="s">
        <v>30</v>
      </c>
      <c r="C21" s="4">
        <v>135</v>
      </c>
      <c r="D21" s="2">
        <v>1</v>
      </c>
      <c r="E21" s="4">
        <f>C21*D21</f>
        <v>135</v>
      </c>
    </row>
    <row r="22" spans="1:5" x14ac:dyDescent="0.2">
      <c r="A22" t="s">
        <v>146</v>
      </c>
      <c r="B22" t="s">
        <v>154</v>
      </c>
      <c r="C22" s="4">
        <v>55</v>
      </c>
      <c r="D22" s="2">
        <v>1</v>
      </c>
      <c r="E22" s="4">
        <f>C22*D22</f>
        <v>55</v>
      </c>
    </row>
    <row r="23" spans="1:5" x14ac:dyDescent="0.2">
      <c r="A23" t="s">
        <v>146</v>
      </c>
      <c r="B23" t="s">
        <v>34</v>
      </c>
      <c r="C23" s="4">
        <v>81</v>
      </c>
      <c r="D23" s="2">
        <v>1</v>
      </c>
      <c r="E23" s="4">
        <f>C23*D23</f>
        <v>81</v>
      </c>
    </row>
    <row r="24" spans="1:5" x14ac:dyDescent="0.2">
      <c r="A24" t="s">
        <v>146</v>
      </c>
      <c r="B24" t="s">
        <v>35</v>
      </c>
      <c r="C24" s="4">
        <v>56</v>
      </c>
      <c r="D24" s="2">
        <v>1</v>
      </c>
      <c r="E24" s="4">
        <f>C24*D24</f>
        <v>56</v>
      </c>
    </row>
    <row r="25" spans="1:5" x14ac:dyDescent="0.2">
      <c r="A25" t="s">
        <v>146</v>
      </c>
      <c r="B25" t="s">
        <v>36</v>
      </c>
      <c r="C25" s="4">
        <v>86</v>
      </c>
      <c r="D25" s="2">
        <v>1</v>
      </c>
      <c r="E25" s="4">
        <f>C25*D25</f>
        <v>86</v>
      </c>
    </row>
    <row r="26" spans="1:5" x14ac:dyDescent="0.2">
      <c r="A26" t="s">
        <v>146</v>
      </c>
      <c r="B26" t="s">
        <v>37</v>
      </c>
      <c r="C26" s="4">
        <v>66</v>
      </c>
      <c r="D26" s="2">
        <v>1</v>
      </c>
      <c r="E26" s="4">
        <f>C26*D26</f>
        <v>66</v>
      </c>
    </row>
    <row r="27" spans="1:5" x14ac:dyDescent="0.2">
      <c r="A27" t="s">
        <v>146</v>
      </c>
      <c r="B27" t="s">
        <v>38</v>
      </c>
      <c r="C27" s="4">
        <v>81</v>
      </c>
      <c r="D27" s="2">
        <v>1</v>
      </c>
      <c r="E27" s="4">
        <f>C27*D27</f>
        <v>81</v>
      </c>
    </row>
    <row r="28" spans="1:5" x14ac:dyDescent="0.2">
      <c r="A28" t="s">
        <v>146</v>
      </c>
      <c r="B28" t="s">
        <v>39</v>
      </c>
      <c r="C28" s="4">
        <v>74</v>
      </c>
      <c r="D28" s="2">
        <v>1</v>
      </c>
      <c r="E28" s="4">
        <f>C28*D28</f>
        <v>74</v>
      </c>
    </row>
    <row r="29" spans="1:5" x14ac:dyDescent="0.2">
      <c r="A29" t="s">
        <v>146</v>
      </c>
      <c r="B29" t="s">
        <v>40</v>
      </c>
      <c r="C29" s="4">
        <v>76</v>
      </c>
      <c r="D29" s="2">
        <v>1</v>
      </c>
      <c r="E29" s="4">
        <f>C29*D29</f>
        <v>76</v>
      </c>
    </row>
    <row r="30" spans="1:5" x14ac:dyDescent="0.2">
      <c r="A30" t="s">
        <v>146</v>
      </c>
      <c r="B30" t="s">
        <v>41</v>
      </c>
      <c r="C30" s="4">
        <v>46</v>
      </c>
      <c r="D30" s="2">
        <v>1</v>
      </c>
      <c r="E30" s="4">
        <f>C30*D30</f>
        <v>46</v>
      </c>
    </row>
    <row r="31" spans="1:5" x14ac:dyDescent="0.2">
      <c r="A31" t="s">
        <v>146</v>
      </c>
      <c r="B31" t="s">
        <v>155</v>
      </c>
      <c r="C31" s="4">
        <v>81</v>
      </c>
      <c r="D31" s="2">
        <v>1</v>
      </c>
      <c r="E31" s="4">
        <f>C31*D31</f>
        <v>81</v>
      </c>
    </row>
    <row r="32" spans="1:5" x14ac:dyDescent="0.2">
      <c r="A32" t="s">
        <v>146</v>
      </c>
      <c r="B32" t="s">
        <v>42</v>
      </c>
      <c r="C32" s="4">
        <v>60</v>
      </c>
      <c r="D32" s="2">
        <v>1</v>
      </c>
      <c r="E32" s="4">
        <f>C32*D32</f>
        <v>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52C1-EABE-FA4C-89F9-FCBCBD121D75}">
  <dimension ref="A1:C10"/>
  <sheetViews>
    <sheetView workbookViewId="0">
      <selection activeCell="A4" sqref="A4:A10"/>
    </sheetView>
  </sheetViews>
  <sheetFormatPr baseColWidth="10" defaultRowHeight="16" x14ac:dyDescent="0.2"/>
  <cols>
    <col min="1" max="1" width="21.6640625" customWidth="1"/>
  </cols>
  <sheetData>
    <row r="1" spans="1:3" ht="19" x14ac:dyDescent="0.25">
      <c r="A1" s="41" t="s">
        <v>182</v>
      </c>
    </row>
    <row r="2" spans="1:3" x14ac:dyDescent="0.2">
      <c r="A2" s="7" t="s">
        <v>183</v>
      </c>
    </row>
    <row r="4" spans="1:3" x14ac:dyDescent="0.2">
      <c r="A4" t="s">
        <v>59</v>
      </c>
      <c r="C4" s="8" t="s">
        <v>109</v>
      </c>
    </row>
    <row r="5" spans="1:3" x14ac:dyDescent="0.2">
      <c r="A5" t="s">
        <v>60</v>
      </c>
      <c r="C5" t="s">
        <v>80</v>
      </c>
    </row>
    <row r="6" spans="1:3" x14ac:dyDescent="0.2">
      <c r="A6" t="s">
        <v>61</v>
      </c>
      <c r="C6" t="s">
        <v>79</v>
      </c>
    </row>
    <row r="7" spans="1:3" x14ac:dyDescent="0.2">
      <c r="A7" t="s">
        <v>62</v>
      </c>
    </row>
    <row r="8" spans="1:3" x14ac:dyDescent="0.2">
      <c r="A8" t="s">
        <v>67</v>
      </c>
    </row>
    <row r="9" spans="1:3" x14ac:dyDescent="0.2">
      <c r="A9" t="s">
        <v>73</v>
      </c>
    </row>
    <row r="10" spans="1:3" x14ac:dyDescent="0.2">
      <c r="A10" t="s">
        <v>88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Inbound</vt:lpstr>
      <vt:lpstr>Inbound Calls</vt:lpstr>
      <vt:lpstr>Inbound Clients</vt:lpstr>
      <vt:lpstr>Aged Lead Clients</vt:lpstr>
      <vt:lpstr>Chargebacks</vt:lpstr>
      <vt:lpstr>Expenses</vt:lpstr>
      <vt:lpstr>Lists</vt:lpstr>
      <vt:lpstr>CarrierList</vt:lpstr>
      <vt:lpstr>StatusList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marks</dc:creator>
  <cp:lastModifiedBy>Devon Tyerman</cp:lastModifiedBy>
  <dcterms:created xsi:type="dcterms:W3CDTF">2026-02-14T20:56:39Z</dcterms:created>
  <dcterms:modified xsi:type="dcterms:W3CDTF">2026-06-14T05:23:55Z</dcterms:modified>
</cp:coreProperties>
</file>